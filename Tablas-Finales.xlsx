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ocuments\GitHub\TP-4\"/>
    </mc:Choice>
  </mc:AlternateContent>
  <xr:revisionPtr revIDLastSave="0" documentId="8_{E5B76149-74EB-438A-A922-6A83C82D1C55}" xr6:coauthVersionLast="47" xr6:coauthVersionMax="47" xr10:uidLastSave="{00000000-0000-0000-0000-000000000000}"/>
  <bookViews>
    <workbookView xWindow="-120" yWindow="-120" windowWidth="29040" windowHeight="15720" xr2:uid="{A5D07815-C786-4DA9-BFD2-18641128B312}"/>
  </bookViews>
  <sheets>
    <sheet name="T1" sheetId="1" r:id="rId1"/>
    <sheet name="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6" i="2" s="1"/>
  <c r="C3" i="2"/>
  <c r="C2" i="2"/>
  <c r="H26" i="1"/>
  <c r="G26" i="1"/>
  <c r="F26" i="1"/>
  <c r="E26" i="1"/>
  <c r="D26" i="1"/>
  <c r="C26" i="1"/>
  <c r="B26" i="1"/>
  <c r="A26" i="1"/>
  <c r="H25" i="1"/>
  <c r="G25" i="1"/>
  <c r="F25" i="1"/>
  <c r="E25" i="1"/>
  <c r="D25" i="1"/>
  <c r="C25" i="1"/>
  <c r="B25" i="1"/>
  <c r="A25" i="1"/>
  <c r="H24" i="1"/>
  <c r="G24" i="1"/>
  <c r="F24" i="1"/>
  <c r="E24" i="1"/>
  <c r="D24" i="1"/>
  <c r="C24" i="1"/>
  <c r="B24" i="1"/>
  <c r="A24" i="1"/>
  <c r="H23" i="1"/>
  <c r="G23" i="1"/>
  <c r="F23" i="1"/>
  <c r="E23" i="1"/>
  <c r="D23" i="1"/>
  <c r="C23" i="1"/>
  <c r="B23" i="1"/>
  <c r="A23" i="1"/>
  <c r="H22" i="1"/>
  <c r="G22" i="1"/>
  <c r="F22" i="1"/>
  <c r="E22" i="1"/>
  <c r="D22" i="1"/>
  <c r="C22" i="1"/>
  <c r="B22" i="1"/>
  <c r="A22" i="1"/>
  <c r="H21" i="1"/>
  <c r="G21" i="1"/>
  <c r="F21" i="1"/>
  <c r="E21" i="1"/>
  <c r="D21" i="1"/>
  <c r="C21" i="1"/>
  <c r="B21" i="1"/>
  <c r="A21" i="1"/>
  <c r="H20" i="1"/>
  <c r="G20" i="1"/>
  <c r="F20" i="1"/>
  <c r="E20" i="1"/>
  <c r="D20" i="1"/>
  <c r="C20" i="1"/>
  <c r="B20" i="1"/>
  <c r="A20" i="1"/>
  <c r="H19" i="1"/>
  <c r="G19" i="1"/>
  <c r="F19" i="1"/>
  <c r="E19" i="1"/>
  <c r="D19" i="1"/>
  <c r="C19" i="1"/>
  <c r="B19" i="1"/>
  <c r="A19" i="1"/>
  <c r="H18" i="1"/>
  <c r="G18" i="1"/>
  <c r="F18" i="1"/>
  <c r="E18" i="1"/>
  <c r="D18" i="1"/>
  <c r="C18" i="1"/>
  <c r="B18" i="1"/>
  <c r="A18" i="1"/>
  <c r="H17" i="1"/>
  <c r="G17" i="1"/>
  <c r="F17" i="1"/>
  <c r="E17" i="1"/>
  <c r="D17" i="1"/>
  <c r="C17" i="1"/>
  <c r="B17" i="1"/>
  <c r="A17" i="1"/>
  <c r="H16" i="1"/>
  <c r="G16" i="1"/>
  <c r="F16" i="1"/>
  <c r="E16" i="1"/>
  <c r="D16" i="1"/>
  <c r="C16" i="1"/>
  <c r="B16" i="1"/>
  <c r="A16" i="1"/>
  <c r="H15" i="1"/>
  <c r="G15" i="1"/>
  <c r="F15" i="1"/>
  <c r="E15" i="1"/>
  <c r="D15" i="1"/>
  <c r="C15" i="1"/>
  <c r="B15" i="1"/>
  <c r="A15" i="1"/>
  <c r="H14" i="1"/>
  <c r="G14" i="1"/>
  <c r="F14" i="1"/>
  <c r="E14" i="1"/>
  <c r="D14" i="1"/>
  <c r="C14" i="1"/>
  <c r="B14" i="1"/>
  <c r="A14" i="1"/>
  <c r="H13" i="1"/>
  <c r="G13" i="1"/>
  <c r="F13" i="1"/>
  <c r="E13" i="1"/>
  <c r="D13" i="1"/>
  <c r="C13" i="1"/>
  <c r="B13" i="1"/>
  <c r="A13" i="1"/>
  <c r="H12" i="1"/>
  <c r="G12" i="1"/>
  <c r="F12" i="1"/>
  <c r="E12" i="1"/>
  <c r="D12" i="1"/>
  <c r="C12" i="1"/>
  <c r="B12" i="1"/>
  <c r="A12" i="1"/>
  <c r="H11" i="1"/>
  <c r="G11" i="1"/>
  <c r="F11" i="1"/>
  <c r="E11" i="1"/>
  <c r="D11" i="1"/>
  <c r="C11" i="1"/>
  <c r="B11" i="1"/>
  <c r="A11" i="1"/>
  <c r="H10" i="1"/>
  <c r="G10" i="1"/>
  <c r="F10" i="1"/>
  <c r="E10" i="1"/>
  <c r="D10" i="1"/>
  <c r="C10" i="1"/>
  <c r="B10" i="1"/>
  <c r="A10" i="1"/>
  <c r="H9" i="1"/>
  <c r="G9" i="1"/>
  <c r="F9" i="1"/>
  <c r="E9" i="1"/>
  <c r="D9" i="1"/>
  <c r="C9" i="1"/>
  <c r="B9" i="1"/>
  <c r="A9" i="1"/>
  <c r="H8" i="1"/>
  <c r="G8" i="1"/>
  <c r="F8" i="1"/>
  <c r="E8" i="1"/>
  <c r="D8" i="1"/>
  <c r="C8" i="1"/>
  <c r="B8" i="1"/>
  <c r="A8" i="1"/>
  <c r="H7" i="1"/>
  <c r="G7" i="1"/>
  <c r="F7" i="1"/>
  <c r="E7" i="1"/>
  <c r="D7" i="1"/>
  <c r="C7" i="1"/>
  <c r="B7" i="1"/>
  <c r="A7" i="1"/>
  <c r="H6" i="1"/>
  <c r="G6" i="1"/>
  <c r="F6" i="1"/>
  <c r="E6" i="1"/>
  <c r="D6" i="1"/>
  <c r="C6" i="1"/>
  <c r="B6" i="1"/>
  <c r="A6" i="1"/>
  <c r="H5" i="1"/>
  <c r="G5" i="1"/>
  <c r="F5" i="1"/>
  <c r="E5" i="1"/>
  <c r="D5" i="1"/>
  <c r="C5" i="1"/>
  <c r="B5" i="1"/>
  <c r="A5" i="1"/>
  <c r="H4" i="1"/>
  <c r="G4" i="1"/>
  <c r="F4" i="1"/>
  <c r="E4" i="1"/>
  <c r="D4" i="1"/>
  <c r="C4" i="1"/>
  <c r="B4" i="1"/>
  <c r="A4" i="1"/>
  <c r="H3" i="1"/>
  <c r="G3" i="1"/>
  <c r="F3" i="1"/>
  <c r="E3" i="1"/>
  <c r="D3" i="1"/>
  <c r="C3" i="1"/>
  <c r="B3" i="1"/>
  <c r="A3" i="1"/>
  <c r="H2" i="1"/>
  <c r="G2" i="1"/>
  <c r="F2" i="1"/>
  <c r="E2" i="1"/>
  <c r="D2" i="1"/>
  <c r="C2" i="1"/>
  <c r="B2" i="1"/>
  <c r="A2" i="1"/>
  <c r="H1" i="1"/>
  <c r="G1" i="1"/>
  <c r="F1" i="1"/>
  <c r="E1" i="1"/>
  <c r="D1" i="1"/>
  <c r="C1" i="1"/>
  <c r="B1" i="1"/>
  <c r="D7" i="2" l="1"/>
  <c r="E7" i="2" s="1"/>
  <c r="E6" i="2"/>
</calcChain>
</file>

<file path=xl/sharedStrings.xml><?xml version="1.0" encoding="utf-8"?>
<sst xmlns="http://schemas.openxmlformats.org/spreadsheetml/2006/main" count="19" uniqueCount="12">
  <si>
    <t>$ bill</t>
  </si>
  <si>
    <t>u$s millones</t>
  </si>
  <si>
    <t>s/ var. BM neta</t>
  </si>
  <si>
    <t>Var BM</t>
  </si>
  <si>
    <t>Sup SPNF</t>
  </si>
  <si>
    <t>Pagos Deuda Pub.</t>
  </si>
  <si>
    <t>-</t>
  </si>
  <si>
    <t>Sup - Pagos</t>
  </si>
  <si>
    <t>Var BM neta</t>
  </si>
  <si>
    <t>Acum RI</t>
  </si>
  <si>
    <t>Canc LEFI</t>
  </si>
  <si>
    <t>Falta p/ LEFI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</si>
</sst>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rgb="FF2B2B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" fontId="0" fillId="0" borderId="0" xfId="0" applyNumberFormat="1"/>
    <xf numFmtId="1" fontId="0" fillId="2" borderId="0" xfId="0" applyNumberFormat="1" applyFill="1"/>
    <xf numFmtId="1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k\Documents\GitHub\TP-4\Datos%20Avila.xlsx" TargetMode="External"/><Relationship Id="rId1" Type="http://schemas.openxmlformats.org/officeDocument/2006/relationships/externalLinkPath" Target="Datos%20Avi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ily BCRA"/>
      <sheetName val="Monthly"/>
      <sheetName val="T1"/>
      <sheetName val="T2"/>
    </sheetNames>
    <sheetDataSet>
      <sheetData sheetId="0"/>
      <sheetData sheetId="1">
        <row r="1">
          <cell r="P1">
            <v>1</v>
          </cell>
          <cell r="Q1">
            <v>2</v>
          </cell>
          <cell r="R1">
            <v>3</v>
          </cell>
          <cell r="S1">
            <v>4</v>
          </cell>
          <cell r="T1">
            <v>5</v>
          </cell>
          <cell r="U1">
            <v>6</v>
          </cell>
          <cell r="V1">
            <v>7</v>
          </cell>
        </row>
        <row r="2">
          <cell r="O2" t="str">
            <v>Fecha</v>
          </cell>
          <cell r="P2" t="str">
            <v>Recaudacion</v>
          </cell>
          <cell r="Q2" t="str">
            <v>Gasto Primario</v>
          </cell>
          <cell r="R2" t="str">
            <v>PNM $ bill</v>
          </cell>
          <cell r="S2" t="str">
            <v>LEFI $ bill</v>
          </cell>
          <cell r="T2" t="str">
            <v>PNM + LEFI $ bill</v>
          </cell>
          <cell r="U2" t="str">
            <v>PNM + LEFI $ constantes</v>
          </cell>
          <cell r="V2" t="str">
            <v>PNM + LEFI indice</v>
          </cell>
        </row>
        <row r="3">
          <cell r="O3">
            <v>45231</v>
          </cell>
          <cell r="P3">
            <v>100</v>
          </cell>
          <cell r="Q3">
            <v>100</v>
          </cell>
          <cell r="R3">
            <v>22.229019477219001</v>
          </cell>
          <cell r="S3">
            <v>0</v>
          </cell>
          <cell r="T3">
            <v>22.229019477219001</v>
          </cell>
          <cell r="U3">
            <v>22.229019477219001</v>
          </cell>
          <cell r="V3">
            <v>100</v>
          </cell>
        </row>
        <row r="4">
          <cell r="O4">
            <v>45261</v>
          </cell>
          <cell r="P4">
            <v>100.8752012241185</v>
          </cell>
          <cell r="Q4">
            <v>131.73387868335581</v>
          </cell>
          <cell r="R4">
            <v>25.786832138089</v>
          </cell>
          <cell r="S4">
            <v>0</v>
          </cell>
          <cell r="T4">
            <v>25.786832138089</v>
          </cell>
          <cell r="U4">
            <v>20.552897947051086</v>
          </cell>
          <cell r="V4">
            <v>92.459759496429186</v>
          </cell>
        </row>
        <row r="5">
          <cell r="O5">
            <v>45292</v>
          </cell>
          <cell r="P5">
            <v>108.73050409230358</v>
          </cell>
          <cell r="Q5">
            <v>60.791206468682986</v>
          </cell>
          <cell r="R5">
            <v>29.880151000000001</v>
          </cell>
          <cell r="S5">
            <v>0</v>
          </cell>
          <cell r="T5">
            <v>29.880151000000001</v>
          </cell>
          <cell r="U5">
            <v>19.745099600670127</v>
          </cell>
          <cell r="V5">
            <v>88.825778487015697</v>
          </cell>
        </row>
        <row r="6">
          <cell r="O6">
            <v>45323</v>
          </cell>
          <cell r="P6">
            <v>90.3984739101614</v>
          </cell>
          <cell r="Q6">
            <v>57.604464115609453</v>
          </cell>
          <cell r="R6">
            <v>28.049327999999999</v>
          </cell>
          <cell r="S6">
            <v>0</v>
          </cell>
          <cell r="T6">
            <v>28.049327999999999</v>
          </cell>
          <cell r="U6">
            <v>16.368035128976839</v>
          </cell>
          <cell r="V6">
            <v>73.633635283604463</v>
          </cell>
        </row>
        <row r="7">
          <cell r="O7">
            <v>45352</v>
          </cell>
          <cell r="P7">
            <v>86.792871714872007</v>
          </cell>
          <cell r="Q7">
            <v>65.162184857666617</v>
          </cell>
          <cell r="R7">
            <v>30.791841999999999</v>
          </cell>
          <cell r="S7">
            <v>0</v>
          </cell>
          <cell r="T7">
            <v>30.791841999999999</v>
          </cell>
          <cell r="U7">
            <v>16.186346292347782</v>
          </cell>
          <cell r="V7">
            <v>72.816285526836026</v>
          </cell>
        </row>
        <row r="8">
          <cell r="O8">
            <v>45383</v>
          </cell>
          <cell r="P8">
            <v>89.424418135310574</v>
          </cell>
          <cell r="Q8">
            <v>71.499624905205152</v>
          </cell>
          <cell r="R8">
            <v>32.712831000000001</v>
          </cell>
          <cell r="S8">
            <v>0</v>
          </cell>
          <cell r="T8">
            <v>32.712831000000001</v>
          </cell>
          <cell r="U8">
            <v>15.800651480932332</v>
          </cell>
          <cell r="V8">
            <v>71.081189600491996</v>
          </cell>
        </row>
        <row r="9">
          <cell r="O9">
            <v>45413</v>
          </cell>
          <cell r="P9">
            <v>132.56070235645987</v>
          </cell>
          <cell r="Q9">
            <v>73.338032654863056</v>
          </cell>
          <cell r="R9">
            <v>18.489248</v>
          </cell>
          <cell r="S9">
            <v>0</v>
          </cell>
          <cell r="T9">
            <v>18.489248</v>
          </cell>
          <cell r="U9">
            <v>8.5724915696632209</v>
          </cell>
          <cell r="V9">
            <v>38.564416115828138</v>
          </cell>
        </row>
        <row r="10">
          <cell r="O10">
            <v>45444</v>
          </cell>
          <cell r="P10">
            <v>107.03551436728083</v>
          </cell>
          <cell r="Q10">
            <v>89.945883508634225</v>
          </cell>
          <cell r="R10">
            <v>15.880749</v>
          </cell>
          <cell r="S10">
            <v>0</v>
          </cell>
          <cell r="T10">
            <v>15.880749</v>
          </cell>
          <cell r="U10">
            <v>7.0408055171618953</v>
          </cell>
          <cell r="V10">
            <v>31.673936515182483</v>
          </cell>
        </row>
        <row r="11">
          <cell r="O11">
            <v>45474</v>
          </cell>
          <cell r="P11">
            <v>108.4698909058383</v>
          </cell>
          <cell r="Q11">
            <v>82.400831985286459</v>
          </cell>
          <cell r="R11">
            <v>0</v>
          </cell>
          <cell r="S11">
            <v>9.6049554541206934</v>
          </cell>
          <cell r="T11">
            <v>9.6049554541206934</v>
          </cell>
          <cell r="U11">
            <v>4.0934003777605366</v>
          </cell>
          <cell r="V11">
            <v>18.414669085856808</v>
          </cell>
        </row>
        <row r="12">
          <cell r="O12">
            <v>45505</v>
          </cell>
          <cell r="P12">
            <v>102.8456141371489</v>
          </cell>
          <cell r="Q12">
            <v>74.647921983958184</v>
          </cell>
          <cell r="R12">
            <v>0</v>
          </cell>
          <cell r="S12">
            <v>8.8283107246338179</v>
          </cell>
          <cell r="T12">
            <v>8.8283107246338179</v>
          </cell>
          <cell r="U12">
            <v>3.6117222034935579</v>
          </cell>
          <cell r="V12">
            <v>16.247780102019185</v>
          </cell>
        </row>
        <row r="13">
          <cell r="O13">
            <v>45536</v>
          </cell>
          <cell r="P13">
            <v>108.52583754233551</v>
          </cell>
          <cell r="Q13">
            <v>75.439253054379179</v>
          </cell>
          <cell r="R13">
            <v>-0.164436</v>
          </cell>
          <cell r="S13">
            <v>11.14386518303797</v>
          </cell>
          <cell r="T13">
            <v>10.97942918303797</v>
          </cell>
          <cell r="U13">
            <v>4.3411557278553641</v>
          </cell>
          <cell r="V13">
            <v>19.529227244163049</v>
          </cell>
        </row>
        <row r="14">
          <cell r="O14">
            <v>45566</v>
          </cell>
          <cell r="P14">
            <v>105.15377910832895</v>
          </cell>
          <cell r="Q14">
            <v>79.29554402156775</v>
          </cell>
          <cell r="R14">
            <v>-5.0389000000000003E-2</v>
          </cell>
          <cell r="S14">
            <v>12.677889277689731</v>
          </cell>
          <cell r="T14">
            <v>12.627500277689732</v>
          </cell>
          <cell r="U14">
            <v>4.861916388400644</v>
          </cell>
          <cell r="V14">
            <v>21.87193363784349</v>
          </cell>
        </row>
        <row r="15">
          <cell r="O15">
            <v>45597</v>
          </cell>
          <cell r="P15">
            <v>104.63868618945573</v>
          </cell>
          <cell r="Q15">
            <v>79.954856418442716</v>
          </cell>
          <cell r="R15">
            <v>-0.26313399999999998</v>
          </cell>
          <cell r="S15">
            <v>14.915258539097</v>
          </cell>
          <cell r="T15">
            <v>14.652124539096999</v>
          </cell>
          <cell r="U15">
            <v>5.5077995982874786</v>
          </cell>
          <cell r="V15">
            <v>24.777519332024724</v>
          </cell>
        </row>
        <row r="16">
          <cell r="O16">
            <v>45627</v>
          </cell>
          <cell r="P16">
            <v>101.79604759288105</v>
          </cell>
          <cell r="Q16">
            <v>108.34008334889904</v>
          </cell>
          <cell r="R16">
            <v>-0.506857</v>
          </cell>
          <cell r="S16">
            <v>10.742211481550669</v>
          </cell>
          <cell r="T16">
            <v>10.235354481550669</v>
          </cell>
          <cell r="U16">
            <v>3.7462143103328307</v>
          </cell>
          <cell r="V16">
            <v>16.852809518530805</v>
          </cell>
        </row>
        <row r="17">
          <cell r="O17">
            <v>45658</v>
          </cell>
          <cell r="P17">
            <v>115.02449314863421</v>
          </cell>
          <cell r="Q17">
            <v>68.277373910930791</v>
          </cell>
          <cell r="R17">
            <v>-0.31053599999999998</v>
          </cell>
          <cell r="S17">
            <v>12.22082033650363</v>
          </cell>
          <cell r="T17">
            <v>11.910284336503629</v>
          </cell>
          <cell r="U17">
            <v>4.2649507315798063</v>
          </cell>
          <cell r="V17">
            <v>19.186409620769204</v>
          </cell>
        </row>
        <row r="18">
          <cell r="O18">
            <v>45689</v>
          </cell>
          <cell r="P18">
            <v>101.03637557317271</v>
          </cell>
          <cell r="Q18">
            <v>66.883847296813343</v>
          </cell>
          <cell r="R18">
            <v>-0.169962</v>
          </cell>
          <cell r="S18">
            <v>11.41864046476107</v>
          </cell>
          <cell r="T18">
            <v>11.24867846476107</v>
          </cell>
          <cell r="U18">
            <v>3.9335668308472154</v>
          </cell>
          <cell r="V18">
            <v>17.695638059422542</v>
          </cell>
        </row>
        <row r="19">
          <cell r="O19">
            <v>45717</v>
          </cell>
          <cell r="P19">
            <v>91.730708142834644</v>
          </cell>
          <cell r="Q19">
            <v>71.861619990269375</v>
          </cell>
          <cell r="R19">
            <v>-0.43334899999999998</v>
          </cell>
          <cell r="S19">
            <v>10.254705929899311</v>
          </cell>
          <cell r="T19">
            <v>9.8213569298993111</v>
          </cell>
          <cell r="U19">
            <v>3.3109675915534829</v>
          </cell>
          <cell r="V19">
            <v>14.89479819362553</v>
          </cell>
        </row>
        <row r="20">
          <cell r="O20">
            <v>45748</v>
          </cell>
          <cell r="P20">
            <v>95.896966049882565</v>
          </cell>
          <cell r="Q20">
            <v>72.630950405547139</v>
          </cell>
          <cell r="R20">
            <v>0</v>
          </cell>
          <cell r="S20">
            <v>11.534728732632381</v>
          </cell>
          <cell r="T20">
            <v>11.534728732632381</v>
          </cell>
          <cell r="U20">
            <v>3.7833687781611913</v>
          </cell>
          <cell r="V20">
            <v>17.019953498347089</v>
          </cell>
        </row>
        <row r="21">
          <cell r="O21">
            <v>45778</v>
          </cell>
          <cell r="P21">
            <v>109.54017498303874</v>
          </cell>
          <cell r="Q21">
            <v>73.274936143168361</v>
          </cell>
          <cell r="R21">
            <v>0</v>
          </cell>
          <cell r="S21">
            <v>11.335632066710341</v>
          </cell>
          <cell r="T21">
            <v>11.335632066710341</v>
          </cell>
          <cell r="U21">
            <v>3.6630786655878018</v>
          </cell>
          <cell r="V21">
            <v>16.478813513757725</v>
          </cell>
        </row>
        <row r="22">
          <cell r="O22">
            <v>45809</v>
          </cell>
          <cell r="P22">
            <v>109.98046082223468</v>
          </cell>
          <cell r="Q22">
            <v>94.199782639964653</v>
          </cell>
          <cell r="R22">
            <v>0</v>
          </cell>
          <cell r="S22">
            <v>11.01732858467722</v>
          </cell>
          <cell r="T22">
            <v>11.01732858467722</v>
          </cell>
          <cell r="U22">
            <v>3.5035007164233951</v>
          </cell>
          <cell r="V22">
            <v>15.760932325485129</v>
          </cell>
        </row>
        <row r="23">
          <cell r="O23">
            <v>45839</v>
          </cell>
          <cell r="P23">
            <v>113.35892195331144</v>
          </cell>
          <cell r="Q23">
            <v>80.80497481976559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O24">
            <v>45870</v>
          </cell>
          <cell r="P24">
            <v>100.53786341651542</v>
          </cell>
          <cell r="Q24">
            <v>68.323870065479724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O25">
            <v>45901</v>
          </cell>
          <cell r="P25">
            <v>99.044034273005238</v>
          </cell>
          <cell r="Q25">
            <v>78.012198974161279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</row>
        <row r="26">
          <cell r="O26">
            <v>45931</v>
          </cell>
          <cell r="P26">
            <v>101.29342726002557</v>
          </cell>
          <cell r="Q26">
            <v>77.899866511634556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A7755-392B-4100-A72A-783409A27624}">
  <dimension ref="A1:J26"/>
  <sheetViews>
    <sheetView tabSelected="1" topLeftCell="A5" zoomScale="145" zoomScaleNormal="145" workbookViewId="0">
      <selection activeCell="D17" sqref="D17"/>
    </sheetView>
  </sheetViews>
  <sheetFormatPr baseColWidth="10" defaultRowHeight="15" x14ac:dyDescent="0.25"/>
  <sheetData>
    <row r="1" spans="1:10" x14ac:dyDescent="0.25">
      <c r="B1">
        <f>[1]Monthly!P1</f>
        <v>1</v>
      </c>
      <c r="C1">
        <f>[1]Monthly!Q1</f>
        <v>2</v>
      </c>
      <c r="D1">
        <f>[1]Monthly!R1</f>
        <v>3</v>
      </c>
      <c r="E1">
        <f>[1]Monthly!S1</f>
        <v>4</v>
      </c>
      <c r="F1">
        <f>[1]Monthly!T1</f>
        <v>5</v>
      </c>
      <c r="G1">
        <f>[1]Monthly!U1</f>
        <v>6</v>
      </c>
      <c r="H1">
        <f>[1]Monthly!V1</f>
        <v>7</v>
      </c>
    </row>
    <row r="2" spans="1:10" x14ac:dyDescent="0.25">
      <c r="A2" t="str">
        <f>[1]Monthly!O2</f>
        <v>Fecha</v>
      </c>
      <c r="B2" t="str">
        <f>[1]Monthly!P2</f>
        <v>Recaudacion</v>
      </c>
      <c r="C2" t="str">
        <f>[1]Monthly!Q2</f>
        <v>Gasto Primario</v>
      </c>
      <c r="D2" t="str">
        <f>[1]Monthly!R2</f>
        <v>PNM $ bill</v>
      </c>
      <c r="E2" t="str">
        <f>[1]Monthly!S2</f>
        <v>LEFI $ bill</v>
      </c>
      <c r="F2" t="str">
        <f>[1]Monthly!T2</f>
        <v>PNM + LEFI $ bill</v>
      </c>
      <c r="G2" t="str">
        <f>[1]Monthly!U2</f>
        <v>PNM + LEFI $ constantes</v>
      </c>
      <c r="H2" t="str">
        <f>[1]Monthly!V2</f>
        <v>PNM + LEFI indice</v>
      </c>
    </row>
    <row r="3" spans="1:10" x14ac:dyDescent="0.25">
      <c r="A3" s="1">
        <f>[1]Monthly!O3</f>
        <v>45231</v>
      </c>
      <c r="B3" s="2">
        <f>[1]Monthly!P3</f>
        <v>100</v>
      </c>
      <c r="C3" s="2">
        <f>[1]Monthly!Q3</f>
        <v>100</v>
      </c>
      <c r="D3" s="2">
        <f>[1]Monthly!R3</f>
        <v>22.229019477219001</v>
      </c>
      <c r="E3" s="2">
        <f>[1]Monthly!S3</f>
        <v>0</v>
      </c>
      <c r="F3" s="2">
        <f>[1]Monthly!T3</f>
        <v>22.229019477219001</v>
      </c>
      <c r="G3" s="2">
        <f>[1]Monthly!U3</f>
        <v>22.229019477219001</v>
      </c>
      <c r="H3" s="2">
        <f>[1]Monthly!V3</f>
        <v>100</v>
      </c>
      <c r="I3" s="3"/>
      <c r="J3" s="3"/>
    </row>
    <row r="4" spans="1:10" x14ac:dyDescent="0.25">
      <c r="A4" s="1">
        <f>[1]Monthly!O4</f>
        <v>45261</v>
      </c>
      <c r="B4" s="2">
        <f>[1]Monthly!P4</f>
        <v>100.8752012241185</v>
      </c>
      <c r="C4" s="2">
        <f>[1]Monthly!Q4</f>
        <v>131.73387868335581</v>
      </c>
      <c r="D4" s="2">
        <f>[1]Monthly!R4</f>
        <v>25.786832138089</v>
      </c>
      <c r="E4" s="2">
        <f>[1]Monthly!S4</f>
        <v>0</v>
      </c>
      <c r="F4" s="2">
        <f>[1]Monthly!T4</f>
        <v>25.786832138089</v>
      </c>
      <c r="G4" s="2">
        <f>[1]Monthly!U4</f>
        <v>20.552897947051086</v>
      </c>
      <c r="H4" s="2">
        <f>[1]Monthly!V4</f>
        <v>92.459759496429186</v>
      </c>
      <c r="I4" s="3"/>
      <c r="J4" s="3"/>
    </row>
    <row r="5" spans="1:10" x14ac:dyDescent="0.25">
      <c r="A5" s="1">
        <f>[1]Monthly!O5</f>
        <v>45292</v>
      </c>
      <c r="B5" s="2">
        <f>[1]Monthly!P5</f>
        <v>108.73050409230358</v>
      </c>
      <c r="C5" s="2">
        <f>[1]Monthly!Q5</f>
        <v>60.791206468682986</v>
      </c>
      <c r="D5" s="2">
        <f>[1]Monthly!R5</f>
        <v>29.880151000000001</v>
      </c>
      <c r="E5" s="2">
        <f>[1]Monthly!S5</f>
        <v>0</v>
      </c>
      <c r="F5" s="2">
        <f>[1]Monthly!T5</f>
        <v>29.880151000000001</v>
      </c>
      <c r="G5" s="2">
        <f>[1]Monthly!U5</f>
        <v>19.745099600670127</v>
      </c>
      <c r="H5" s="2">
        <f>[1]Monthly!V5</f>
        <v>88.825778487015697</v>
      </c>
      <c r="I5" s="3"/>
      <c r="J5" s="3"/>
    </row>
    <row r="6" spans="1:10" x14ac:dyDescent="0.25">
      <c r="A6" s="1">
        <f>[1]Monthly!O6</f>
        <v>45323</v>
      </c>
      <c r="B6" s="2">
        <f>[1]Monthly!P6</f>
        <v>90.3984739101614</v>
      </c>
      <c r="C6" s="2">
        <f>[1]Monthly!Q6</f>
        <v>57.604464115609453</v>
      </c>
      <c r="D6" s="2">
        <f>[1]Monthly!R6</f>
        <v>28.049327999999999</v>
      </c>
      <c r="E6" s="2">
        <f>[1]Monthly!S6</f>
        <v>0</v>
      </c>
      <c r="F6" s="2">
        <f>[1]Monthly!T6</f>
        <v>28.049327999999999</v>
      </c>
      <c r="G6" s="2">
        <f>[1]Monthly!U6</f>
        <v>16.368035128976839</v>
      </c>
      <c r="H6" s="2">
        <f>[1]Monthly!V6</f>
        <v>73.633635283604463</v>
      </c>
      <c r="I6" s="3"/>
      <c r="J6" s="3"/>
    </row>
    <row r="7" spans="1:10" x14ac:dyDescent="0.25">
      <c r="A7" s="1">
        <f>[1]Monthly!O7</f>
        <v>45352</v>
      </c>
      <c r="B7" s="2">
        <f>[1]Monthly!P7</f>
        <v>86.792871714872007</v>
      </c>
      <c r="C7" s="2">
        <f>[1]Monthly!Q7</f>
        <v>65.162184857666617</v>
      </c>
      <c r="D7" s="2">
        <f>[1]Monthly!R7</f>
        <v>30.791841999999999</v>
      </c>
      <c r="E7" s="2">
        <f>[1]Monthly!S7</f>
        <v>0</v>
      </c>
      <c r="F7" s="2">
        <f>[1]Monthly!T7</f>
        <v>30.791841999999999</v>
      </c>
      <c r="G7" s="2">
        <f>[1]Monthly!U7</f>
        <v>16.186346292347782</v>
      </c>
      <c r="H7" s="2">
        <f>[1]Monthly!V7</f>
        <v>72.816285526836026</v>
      </c>
      <c r="I7" s="3"/>
      <c r="J7" s="3"/>
    </row>
    <row r="8" spans="1:10" x14ac:dyDescent="0.25">
      <c r="A8" s="1">
        <f>[1]Monthly!O8</f>
        <v>45383</v>
      </c>
      <c r="B8" s="2">
        <f>[1]Monthly!P8</f>
        <v>89.424418135310574</v>
      </c>
      <c r="C8" s="2">
        <f>[1]Monthly!Q8</f>
        <v>71.499624905205152</v>
      </c>
      <c r="D8" s="2">
        <f>[1]Monthly!R8</f>
        <v>32.712831000000001</v>
      </c>
      <c r="E8" s="2">
        <f>[1]Monthly!S8</f>
        <v>0</v>
      </c>
      <c r="F8" s="2">
        <f>[1]Monthly!T8</f>
        <v>32.712831000000001</v>
      </c>
      <c r="G8" s="2">
        <f>[1]Monthly!U8</f>
        <v>15.800651480932332</v>
      </c>
      <c r="H8" s="2">
        <f>[1]Monthly!V8</f>
        <v>71.081189600491996</v>
      </c>
      <c r="I8" s="3"/>
      <c r="J8" s="3"/>
    </row>
    <row r="9" spans="1:10" x14ac:dyDescent="0.25">
      <c r="A9" s="1">
        <f>[1]Monthly!O9</f>
        <v>45413</v>
      </c>
      <c r="B9" s="2">
        <f>[1]Monthly!P9</f>
        <v>132.56070235645987</v>
      </c>
      <c r="C9" s="2">
        <f>[1]Monthly!Q9</f>
        <v>73.338032654863056</v>
      </c>
      <c r="D9" s="2">
        <f>[1]Monthly!R9</f>
        <v>18.489248</v>
      </c>
      <c r="E9" s="2">
        <f>[1]Monthly!S9</f>
        <v>0</v>
      </c>
      <c r="F9" s="2">
        <f>[1]Monthly!T9</f>
        <v>18.489248</v>
      </c>
      <c r="G9" s="2">
        <f>[1]Monthly!U9</f>
        <v>8.5724915696632209</v>
      </c>
      <c r="H9" s="2">
        <f>[1]Monthly!V9</f>
        <v>38.564416115828138</v>
      </c>
      <c r="I9" s="3"/>
      <c r="J9" s="3"/>
    </row>
    <row r="10" spans="1:10" x14ac:dyDescent="0.25">
      <c r="A10" s="1">
        <f>[1]Monthly!O10</f>
        <v>45444</v>
      </c>
      <c r="B10" s="2">
        <f>[1]Monthly!P10</f>
        <v>107.03551436728083</v>
      </c>
      <c r="C10" s="2">
        <f>[1]Monthly!Q10</f>
        <v>89.945883508634225</v>
      </c>
      <c r="D10" s="2">
        <f>[1]Monthly!R10</f>
        <v>15.880749</v>
      </c>
      <c r="E10" s="2">
        <f>[1]Monthly!S10</f>
        <v>0</v>
      </c>
      <c r="F10" s="2">
        <f>[1]Monthly!T10</f>
        <v>15.880749</v>
      </c>
      <c r="G10" s="2">
        <f>[1]Monthly!U10</f>
        <v>7.0408055171618953</v>
      </c>
      <c r="H10" s="2">
        <f>[1]Monthly!V10</f>
        <v>31.673936515182483</v>
      </c>
      <c r="I10" s="3"/>
      <c r="J10" s="3"/>
    </row>
    <row r="11" spans="1:10" x14ac:dyDescent="0.25">
      <c r="A11" s="1">
        <f>[1]Monthly!O11</f>
        <v>45474</v>
      </c>
      <c r="B11" s="2">
        <f>[1]Monthly!P11</f>
        <v>108.4698909058383</v>
      </c>
      <c r="C11" s="2">
        <f>[1]Monthly!Q11</f>
        <v>82.400831985286459</v>
      </c>
      <c r="D11" s="2">
        <f>[1]Monthly!R11</f>
        <v>0</v>
      </c>
      <c r="E11" s="2">
        <f>[1]Monthly!S11</f>
        <v>9.6049554541206934</v>
      </c>
      <c r="F11" s="2">
        <f>[1]Monthly!T11</f>
        <v>9.6049554541206934</v>
      </c>
      <c r="G11" s="2">
        <f>[1]Monthly!U11</f>
        <v>4.0934003777605366</v>
      </c>
      <c r="H11" s="2">
        <f>[1]Monthly!V11</f>
        <v>18.414669085856808</v>
      </c>
      <c r="I11" s="3"/>
      <c r="J11" s="3"/>
    </row>
    <row r="12" spans="1:10" x14ac:dyDescent="0.25">
      <c r="A12" s="1">
        <f>[1]Monthly!O12</f>
        <v>45505</v>
      </c>
      <c r="B12" s="2">
        <f>[1]Monthly!P12</f>
        <v>102.8456141371489</v>
      </c>
      <c r="C12" s="2">
        <f>[1]Monthly!Q12</f>
        <v>74.647921983958184</v>
      </c>
      <c r="D12" s="2">
        <f>[1]Monthly!R12</f>
        <v>0</v>
      </c>
      <c r="E12" s="2">
        <f>[1]Monthly!S12</f>
        <v>8.8283107246338179</v>
      </c>
      <c r="F12" s="2">
        <f>[1]Monthly!T12</f>
        <v>8.8283107246338179</v>
      </c>
      <c r="G12" s="2">
        <f>[1]Monthly!U12</f>
        <v>3.6117222034935579</v>
      </c>
      <c r="H12" s="2">
        <f>[1]Monthly!V12</f>
        <v>16.247780102019185</v>
      </c>
      <c r="I12" s="3"/>
      <c r="J12" s="3"/>
    </row>
    <row r="13" spans="1:10" x14ac:dyDescent="0.25">
      <c r="A13" s="1">
        <f>[1]Monthly!O13</f>
        <v>45536</v>
      </c>
      <c r="B13" s="2">
        <f>[1]Monthly!P13</f>
        <v>108.52583754233551</v>
      </c>
      <c r="C13" s="2">
        <f>[1]Monthly!Q13</f>
        <v>75.439253054379179</v>
      </c>
      <c r="D13" s="2">
        <f>[1]Monthly!R13</f>
        <v>-0.164436</v>
      </c>
      <c r="E13" s="2">
        <f>[1]Monthly!S13</f>
        <v>11.14386518303797</v>
      </c>
      <c r="F13" s="2">
        <f>[1]Monthly!T13</f>
        <v>10.97942918303797</v>
      </c>
      <c r="G13" s="2">
        <f>[1]Monthly!U13</f>
        <v>4.3411557278553641</v>
      </c>
      <c r="H13" s="2">
        <f>[1]Monthly!V13</f>
        <v>19.529227244163049</v>
      </c>
      <c r="I13" s="3"/>
      <c r="J13" s="3"/>
    </row>
    <row r="14" spans="1:10" x14ac:dyDescent="0.25">
      <c r="A14" s="1">
        <f>[1]Monthly!O14</f>
        <v>45566</v>
      </c>
      <c r="B14" s="2">
        <f>[1]Monthly!P14</f>
        <v>105.15377910832895</v>
      </c>
      <c r="C14" s="2">
        <f>[1]Monthly!Q14</f>
        <v>79.29554402156775</v>
      </c>
      <c r="D14" s="2">
        <f>[1]Monthly!R14</f>
        <v>-5.0389000000000003E-2</v>
      </c>
      <c r="E14" s="2">
        <f>[1]Monthly!S14</f>
        <v>12.677889277689731</v>
      </c>
      <c r="F14" s="2">
        <f>[1]Monthly!T14</f>
        <v>12.627500277689732</v>
      </c>
      <c r="G14" s="2">
        <f>[1]Monthly!U14</f>
        <v>4.861916388400644</v>
      </c>
      <c r="H14" s="2">
        <f>[1]Monthly!V14</f>
        <v>21.87193363784349</v>
      </c>
      <c r="I14" s="3"/>
      <c r="J14" s="3"/>
    </row>
    <row r="15" spans="1:10" x14ac:dyDescent="0.25">
      <c r="A15" s="1">
        <f>[1]Monthly!O15</f>
        <v>45597</v>
      </c>
      <c r="B15" s="2">
        <f>[1]Monthly!P15</f>
        <v>104.63868618945573</v>
      </c>
      <c r="C15" s="2">
        <f>[1]Monthly!Q15</f>
        <v>79.954856418442716</v>
      </c>
      <c r="D15" s="2">
        <f>[1]Monthly!R15</f>
        <v>-0.26313399999999998</v>
      </c>
      <c r="E15" s="2">
        <f>[1]Monthly!S15</f>
        <v>14.915258539097</v>
      </c>
      <c r="F15" s="2">
        <f>[1]Monthly!T15</f>
        <v>14.652124539096999</v>
      </c>
      <c r="G15" s="2">
        <f>[1]Monthly!U15</f>
        <v>5.5077995982874786</v>
      </c>
      <c r="H15" s="2">
        <f>[1]Monthly!V15</f>
        <v>24.777519332024724</v>
      </c>
      <c r="I15" s="3"/>
      <c r="J15" s="3"/>
    </row>
    <row r="16" spans="1:10" x14ac:dyDescent="0.25">
      <c r="A16" s="1">
        <f>[1]Monthly!O16</f>
        <v>45627</v>
      </c>
      <c r="B16" s="2">
        <f>[1]Monthly!P16</f>
        <v>101.79604759288105</v>
      </c>
      <c r="C16" s="2">
        <f>[1]Monthly!Q16</f>
        <v>108.34008334889904</v>
      </c>
      <c r="D16" s="2">
        <f>[1]Monthly!R16</f>
        <v>-0.506857</v>
      </c>
      <c r="E16" s="2">
        <f>[1]Monthly!S16</f>
        <v>10.742211481550669</v>
      </c>
      <c r="F16" s="4">
        <f>[1]Monthly!T16</f>
        <v>10.235354481550669</v>
      </c>
      <c r="G16" s="2">
        <f>[1]Monthly!U16</f>
        <v>3.7462143103328307</v>
      </c>
      <c r="H16" s="2">
        <f>[1]Monthly!V16</f>
        <v>16.852809518530805</v>
      </c>
      <c r="I16" s="3"/>
      <c r="J16" s="3"/>
    </row>
    <row r="17" spans="1:10" x14ac:dyDescent="0.25">
      <c r="A17" s="1">
        <f>[1]Monthly!O17</f>
        <v>45658</v>
      </c>
      <c r="B17" s="3">
        <f>[1]Monthly!P17</f>
        <v>115.02449314863421</v>
      </c>
      <c r="C17" s="3">
        <f>[1]Monthly!Q17</f>
        <v>68.277373910930791</v>
      </c>
      <c r="D17" s="3">
        <f>[1]Monthly!R17</f>
        <v>-0.31053599999999998</v>
      </c>
      <c r="E17" s="3">
        <f>[1]Monthly!S17</f>
        <v>12.22082033650363</v>
      </c>
      <c r="F17" s="3">
        <f>[1]Monthly!T17</f>
        <v>11.910284336503629</v>
      </c>
      <c r="G17" s="3">
        <f>[1]Monthly!U17</f>
        <v>4.2649507315798063</v>
      </c>
      <c r="H17" s="3">
        <f>[1]Monthly!V17</f>
        <v>19.186409620769204</v>
      </c>
      <c r="I17" s="3"/>
      <c r="J17" s="3"/>
    </row>
    <row r="18" spans="1:10" x14ac:dyDescent="0.25">
      <c r="A18" s="1">
        <f>[1]Monthly!O18</f>
        <v>45689</v>
      </c>
      <c r="B18" s="3">
        <f>[1]Monthly!P18</f>
        <v>101.03637557317271</v>
      </c>
      <c r="C18" s="3">
        <f>[1]Monthly!Q18</f>
        <v>66.883847296813343</v>
      </c>
      <c r="D18" s="3">
        <f>[1]Monthly!R18</f>
        <v>-0.169962</v>
      </c>
      <c r="E18" s="3">
        <f>[1]Monthly!S18</f>
        <v>11.41864046476107</v>
      </c>
      <c r="F18" s="3">
        <f>[1]Monthly!T18</f>
        <v>11.24867846476107</v>
      </c>
      <c r="G18" s="3">
        <f>[1]Monthly!U18</f>
        <v>3.9335668308472154</v>
      </c>
      <c r="H18" s="3">
        <f>[1]Monthly!V18</f>
        <v>17.695638059422542</v>
      </c>
      <c r="I18" s="3"/>
      <c r="J18" s="3"/>
    </row>
    <row r="19" spans="1:10" x14ac:dyDescent="0.25">
      <c r="A19" s="1">
        <f>[1]Monthly!O19</f>
        <v>45717</v>
      </c>
      <c r="B19" s="3">
        <f>[1]Monthly!P19</f>
        <v>91.730708142834644</v>
      </c>
      <c r="C19" s="3">
        <f>[1]Monthly!Q19</f>
        <v>71.861619990269375</v>
      </c>
      <c r="D19" s="3">
        <f>[1]Monthly!R19</f>
        <v>-0.43334899999999998</v>
      </c>
      <c r="E19" s="3">
        <f>[1]Monthly!S19</f>
        <v>10.254705929899311</v>
      </c>
      <c r="F19" s="3">
        <f>[1]Monthly!T19</f>
        <v>9.8213569298993111</v>
      </c>
      <c r="G19" s="3">
        <f>[1]Monthly!U19</f>
        <v>3.3109675915534829</v>
      </c>
      <c r="H19" s="3">
        <f>[1]Monthly!V19</f>
        <v>14.89479819362553</v>
      </c>
      <c r="I19" s="3"/>
      <c r="J19" s="3"/>
    </row>
    <row r="20" spans="1:10" x14ac:dyDescent="0.25">
      <c r="A20" s="1">
        <f>[1]Monthly!O20</f>
        <v>45748</v>
      </c>
      <c r="B20" s="3">
        <f>[1]Monthly!P20</f>
        <v>95.896966049882565</v>
      </c>
      <c r="C20" s="3">
        <f>[1]Monthly!Q20</f>
        <v>72.630950405547139</v>
      </c>
      <c r="D20" s="3">
        <f>[1]Monthly!R20</f>
        <v>0</v>
      </c>
      <c r="E20" s="3">
        <f>[1]Monthly!S20</f>
        <v>11.534728732632381</v>
      </c>
      <c r="F20" s="3">
        <f>[1]Monthly!T20</f>
        <v>11.534728732632381</v>
      </c>
      <c r="G20" s="3">
        <f>[1]Monthly!U20</f>
        <v>3.7833687781611913</v>
      </c>
      <c r="H20" s="3">
        <f>[1]Monthly!V20</f>
        <v>17.019953498347089</v>
      </c>
      <c r="I20" s="3"/>
      <c r="J20" s="3"/>
    </row>
    <row r="21" spans="1:10" x14ac:dyDescent="0.25">
      <c r="A21" s="1">
        <f>[1]Monthly!O21</f>
        <v>45778</v>
      </c>
      <c r="B21" s="3">
        <f>[1]Monthly!P21</f>
        <v>109.54017498303874</v>
      </c>
      <c r="C21" s="3">
        <f>[1]Monthly!Q21</f>
        <v>73.274936143168361</v>
      </c>
      <c r="D21" s="3">
        <f>[1]Monthly!R21</f>
        <v>0</v>
      </c>
      <c r="E21" s="3">
        <f>[1]Monthly!S21</f>
        <v>11.335632066710341</v>
      </c>
      <c r="F21" s="3">
        <f>[1]Monthly!T21</f>
        <v>11.335632066710341</v>
      </c>
      <c r="G21" s="3">
        <f>[1]Monthly!U21</f>
        <v>3.6630786655878018</v>
      </c>
      <c r="H21" s="3">
        <f>[1]Monthly!V21</f>
        <v>16.478813513757725</v>
      </c>
      <c r="I21" s="3"/>
      <c r="J21" s="3"/>
    </row>
    <row r="22" spans="1:10" x14ac:dyDescent="0.25">
      <c r="A22" s="1">
        <f>[1]Monthly!O22</f>
        <v>45809</v>
      </c>
      <c r="B22" s="3">
        <f>[1]Monthly!P22</f>
        <v>109.98046082223468</v>
      </c>
      <c r="C22" s="3">
        <f>[1]Monthly!Q22</f>
        <v>94.199782639964653</v>
      </c>
      <c r="D22" s="3">
        <f>[1]Monthly!R22</f>
        <v>0</v>
      </c>
      <c r="E22" s="3">
        <f>[1]Monthly!S22</f>
        <v>11.01732858467722</v>
      </c>
      <c r="F22" s="3">
        <f>[1]Monthly!T22</f>
        <v>11.01732858467722</v>
      </c>
      <c r="G22" s="3">
        <f>[1]Monthly!U22</f>
        <v>3.5035007164233951</v>
      </c>
      <c r="H22" s="3">
        <f>[1]Monthly!V22</f>
        <v>15.760932325485129</v>
      </c>
      <c r="I22" s="3"/>
      <c r="J22" s="3"/>
    </row>
    <row r="23" spans="1:10" x14ac:dyDescent="0.25">
      <c r="A23" s="1">
        <f>[1]Monthly!O23</f>
        <v>45839</v>
      </c>
      <c r="B23" s="3">
        <f>[1]Monthly!P23</f>
        <v>113.35892195331144</v>
      </c>
      <c r="C23" s="3">
        <f>[1]Monthly!Q23</f>
        <v>80.80497481976559</v>
      </c>
      <c r="D23" s="3">
        <f>[1]Monthly!R23</f>
        <v>0</v>
      </c>
      <c r="E23" s="3">
        <f>[1]Monthly!S23</f>
        <v>0</v>
      </c>
      <c r="F23" s="3">
        <f>[1]Monthly!T23</f>
        <v>0</v>
      </c>
      <c r="G23" s="3">
        <f>[1]Monthly!U23</f>
        <v>0</v>
      </c>
      <c r="H23" s="3">
        <f>[1]Monthly!V23</f>
        <v>0</v>
      </c>
      <c r="I23" s="3"/>
      <c r="J23" s="3"/>
    </row>
    <row r="24" spans="1:10" x14ac:dyDescent="0.25">
      <c r="A24" s="1">
        <f>[1]Monthly!O24</f>
        <v>45870</v>
      </c>
      <c r="B24" s="3">
        <f>[1]Monthly!P24</f>
        <v>100.53786341651542</v>
      </c>
      <c r="C24" s="3">
        <f>[1]Monthly!Q24</f>
        <v>68.323870065479724</v>
      </c>
      <c r="D24" s="3">
        <f>[1]Monthly!R24</f>
        <v>0</v>
      </c>
      <c r="E24" s="3">
        <f>[1]Monthly!S24</f>
        <v>0</v>
      </c>
      <c r="F24" s="3">
        <f>[1]Monthly!T24</f>
        <v>0</v>
      </c>
      <c r="G24" s="3">
        <f>[1]Monthly!U24</f>
        <v>0</v>
      </c>
      <c r="H24" s="3">
        <f>[1]Monthly!V24</f>
        <v>0</v>
      </c>
      <c r="I24" s="3"/>
      <c r="J24" s="3"/>
    </row>
    <row r="25" spans="1:10" x14ac:dyDescent="0.25">
      <c r="A25" s="1">
        <f>[1]Monthly!O25</f>
        <v>45901</v>
      </c>
      <c r="B25" s="3">
        <f>[1]Monthly!P25</f>
        <v>99.044034273005238</v>
      </c>
      <c r="C25" s="3">
        <f>[1]Monthly!Q25</f>
        <v>78.012198974161279</v>
      </c>
      <c r="D25" s="3">
        <f>[1]Monthly!R25</f>
        <v>0</v>
      </c>
      <c r="E25" s="3">
        <f>[1]Monthly!S25</f>
        <v>0</v>
      </c>
      <c r="F25" s="3">
        <f>[1]Monthly!T25</f>
        <v>0</v>
      </c>
      <c r="G25" s="3">
        <f>[1]Monthly!U25</f>
        <v>0</v>
      </c>
      <c r="H25" s="3">
        <f>[1]Monthly!V25</f>
        <v>0</v>
      </c>
      <c r="I25" s="3"/>
      <c r="J25" s="3"/>
    </row>
    <row r="26" spans="1:10" x14ac:dyDescent="0.25">
      <c r="A26" s="1">
        <f>[1]Monthly!O26</f>
        <v>45931</v>
      </c>
      <c r="B26" s="3">
        <f>[1]Monthly!P26</f>
        <v>101.29342726002557</v>
      </c>
      <c r="C26" s="3">
        <f>[1]Monthly!Q26</f>
        <v>77.899866511634556</v>
      </c>
      <c r="D26" s="3">
        <f>[1]Monthly!R26</f>
        <v>0</v>
      </c>
      <c r="E26" s="3">
        <f>[1]Monthly!S26</f>
        <v>0</v>
      </c>
      <c r="F26" s="3">
        <f>[1]Monthly!T26</f>
        <v>0</v>
      </c>
      <c r="G26" s="3">
        <f>[1]Monthly!U26</f>
        <v>0</v>
      </c>
      <c r="H26" s="3">
        <f>[1]Monthly!V26</f>
        <v>0</v>
      </c>
      <c r="I26" s="3"/>
      <c r="J2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F4E3B-A03E-49CF-A72E-5E3DC88487EA}">
  <dimension ref="A1:E18"/>
  <sheetViews>
    <sheetView zoomScale="145" zoomScaleNormal="145" workbookViewId="0">
      <selection sqref="A1:H26"/>
    </sheetView>
  </sheetViews>
  <sheetFormatPr baseColWidth="10" defaultRowHeight="15" x14ac:dyDescent="0.25"/>
  <sheetData>
    <row r="1" spans="1:5" x14ac:dyDescent="0.25">
      <c r="C1" t="s">
        <v>0</v>
      </c>
      <c r="D1" t="s">
        <v>1</v>
      </c>
      <c r="E1" t="s">
        <v>2</v>
      </c>
    </row>
    <row r="2" spans="1:5" x14ac:dyDescent="0.25">
      <c r="A2">
        <v>1</v>
      </c>
      <c r="B2" t="s">
        <v>3</v>
      </c>
      <c r="C2" s="5">
        <f>11090981/1000000</f>
        <v>11.090980999999999</v>
      </c>
      <c r="D2">
        <v>9301</v>
      </c>
    </row>
    <row r="3" spans="1:5" x14ac:dyDescent="0.25">
      <c r="A3">
        <v>2</v>
      </c>
      <c r="B3" t="s">
        <v>4</v>
      </c>
      <c r="C3" s="5">
        <f>12517672/1000000</f>
        <v>12.517671999999999</v>
      </c>
      <c r="D3">
        <v>10669</v>
      </c>
    </row>
    <row r="4" spans="1:5" x14ac:dyDescent="0.25">
      <c r="A4">
        <v>3</v>
      </c>
      <c r="B4" t="s">
        <v>5</v>
      </c>
      <c r="C4" t="s">
        <v>6</v>
      </c>
      <c r="D4">
        <v>5933</v>
      </c>
    </row>
    <row r="5" spans="1:5" x14ac:dyDescent="0.25">
      <c r="A5">
        <v>4</v>
      </c>
      <c r="B5" t="s">
        <v>7</v>
      </c>
      <c r="C5" t="s">
        <v>6</v>
      </c>
      <c r="D5">
        <f>+D3-D4</f>
        <v>4736</v>
      </c>
    </row>
    <row r="6" spans="1:5" x14ac:dyDescent="0.25">
      <c r="A6">
        <v>5</v>
      </c>
      <c r="B6" t="s">
        <v>8</v>
      </c>
      <c r="C6" t="s">
        <v>6</v>
      </c>
      <c r="D6">
        <f>+D2-D5</f>
        <v>4565</v>
      </c>
      <c r="E6" s="6">
        <f>+D6/$D$6</f>
        <v>1</v>
      </c>
    </row>
    <row r="7" spans="1:5" x14ac:dyDescent="0.25">
      <c r="A7">
        <v>6</v>
      </c>
      <c r="B7" t="s">
        <v>9</v>
      </c>
      <c r="C7" t="s">
        <v>6</v>
      </c>
      <c r="D7">
        <f>+D6</f>
        <v>4565</v>
      </c>
      <c r="E7" s="6">
        <f>+D7/$D$6</f>
        <v>1</v>
      </c>
    </row>
    <row r="8" spans="1:5" x14ac:dyDescent="0.25">
      <c r="A8">
        <v>7</v>
      </c>
      <c r="B8" t="s">
        <v>10</v>
      </c>
      <c r="C8" t="s">
        <v>6</v>
      </c>
      <c r="D8" t="s">
        <v>6</v>
      </c>
    </row>
    <row r="9" spans="1:5" x14ac:dyDescent="0.25">
      <c r="A9">
        <v>8</v>
      </c>
      <c r="B9" t="s">
        <v>11</v>
      </c>
      <c r="C9" t="s">
        <v>6</v>
      </c>
      <c r="D9" t="s">
        <v>6</v>
      </c>
    </row>
    <row r="18" spans="5:5" x14ac:dyDescent="0.25">
      <c r="E1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T1</vt:lpstr>
      <vt:lpstr>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Chaluh</dc:creator>
  <cp:lastModifiedBy>Marcos Chaluh</cp:lastModifiedBy>
  <dcterms:created xsi:type="dcterms:W3CDTF">2025-11-25T23:52:03Z</dcterms:created>
  <dcterms:modified xsi:type="dcterms:W3CDTF">2025-11-25T23:52:24Z</dcterms:modified>
</cp:coreProperties>
</file>
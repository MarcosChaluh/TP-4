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cuments\GitHub\TP-4\"/>
    </mc:Choice>
  </mc:AlternateContent>
  <xr:revisionPtr revIDLastSave="0" documentId="13_ncr:1_{A9C01AD6-74E9-4E2D-8DD4-DBF67C1983EE}" xr6:coauthVersionLast="47" xr6:coauthVersionMax="47" xr10:uidLastSave="{00000000-0000-0000-0000-000000000000}"/>
  <bookViews>
    <workbookView xWindow="-120" yWindow="-120" windowWidth="29040" windowHeight="15720" activeTab="3" xr2:uid="{C7CF121A-C569-4F06-874B-6278807716B1}"/>
  </bookViews>
  <sheets>
    <sheet name="Daily BCRA" sheetId="1" r:id="rId1"/>
    <sheet name="Monthly" sheetId="3" r:id="rId2"/>
    <sheet name="T1" sheetId="5" r:id="rId3"/>
    <sheet name="T2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E7" i="6" s="1"/>
  <c r="E6" i="6"/>
  <c r="W26" i="3" l="1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D6" i="6"/>
  <c r="D5" i="6"/>
  <c r="C3" i="6"/>
  <c r="C2" i="6"/>
  <c r="B1" i="5"/>
  <c r="C1" i="5"/>
  <c r="D1" i="5"/>
  <c r="E1" i="5"/>
  <c r="F1" i="5"/>
  <c r="G1" i="5"/>
  <c r="H1" i="5"/>
  <c r="A2" i="5"/>
  <c r="B2" i="5"/>
  <c r="C2" i="5"/>
  <c r="D2" i="5"/>
  <c r="E2" i="5"/>
  <c r="F2" i="5"/>
  <c r="G2" i="5"/>
  <c r="H2" i="5"/>
  <c r="H3" i="5"/>
  <c r="D8" i="5"/>
  <c r="A9" i="5"/>
  <c r="F9" i="5"/>
  <c r="C10" i="5"/>
  <c r="D14" i="5"/>
  <c r="A15" i="5"/>
  <c r="C16" i="5"/>
  <c r="E17" i="5"/>
  <c r="D18" i="5"/>
  <c r="D20" i="5"/>
  <c r="A21" i="5"/>
  <c r="D26" i="5"/>
  <c r="X21" i="3"/>
  <c r="X25" i="3"/>
  <c r="X22" i="3"/>
  <c r="X20" i="3"/>
  <c r="X19" i="3"/>
  <c r="X18" i="3"/>
  <c r="X13" i="3"/>
  <c r="X10" i="3"/>
  <c r="X9" i="3"/>
  <c r="X8" i="3"/>
  <c r="X7" i="3"/>
  <c r="X6" i="3"/>
  <c r="K489" i="1"/>
  <c r="K477" i="1"/>
  <c r="K465" i="1"/>
  <c r="K453" i="1"/>
  <c r="K441" i="1"/>
  <c r="K429" i="1"/>
  <c r="K417" i="1"/>
  <c r="K405" i="1"/>
  <c r="K393" i="1"/>
  <c r="K381" i="1"/>
  <c r="K369" i="1"/>
  <c r="K357" i="1"/>
  <c r="K345" i="1"/>
  <c r="K333" i="1"/>
  <c r="K321" i="1"/>
  <c r="K309" i="1"/>
  <c r="K297" i="1"/>
  <c r="K285" i="1"/>
  <c r="K273" i="1"/>
  <c r="K261" i="1"/>
  <c r="K249" i="1"/>
  <c r="K237" i="1"/>
  <c r="K225" i="1"/>
  <c r="K213" i="1"/>
  <c r="K201" i="1"/>
  <c r="K189" i="1"/>
  <c r="K177" i="1"/>
  <c r="K165" i="1"/>
  <c r="K153" i="1"/>
  <c r="K141" i="1"/>
  <c r="K129" i="1"/>
  <c r="K117" i="1"/>
  <c r="K105" i="1"/>
  <c r="K93" i="1"/>
  <c r="K81" i="1"/>
  <c r="K69" i="1"/>
  <c r="K57" i="1"/>
  <c r="K45" i="1"/>
  <c r="K33" i="1"/>
  <c r="K21" i="1"/>
  <c r="K9" i="1"/>
  <c r="O26" i="3"/>
  <c r="A26" i="5" s="1"/>
  <c r="O25" i="3"/>
  <c r="A25" i="5" s="1"/>
  <c r="O24" i="3"/>
  <c r="A24" i="5" s="1"/>
  <c r="O23" i="3"/>
  <c r="A23" i="5" s="1"/>
  <c r="O22" i="3"/>
  <c r="A22" i="5" s="1"/>
  <c r="O21" i="3"/>
  <c r="O20" i="3"/>
  <c r="A20" i="5" s="1"/>
  <c r="O19" i="3"/>
  <c r="A19" i="5" s="1"/>
  <c r="O18" i="3"/>
  <c r="A18" i="5" s="1"/>
  <c r="O17" i="3"/>
  <c r="A17" i="5" s="1"/>
  <c r="O16" i="3"/>
  <c r="A16" i="5" s="1"/>
  <c r="O15" i="3"/>
  <c r="O14" i="3"/>
  <c r="A14" i="5" s="1"/>
  <c r="O13" i="3"/>
  <c r="A13" i="5" s="1"/>
  <c r="O12" i="3"/>
  <c r="A12" i="5" s="1"/>
  <c r="O11" i="3"/>
  <c r="A11" i="5" s="1"/>
  <c r="O10" i="3"/>
  <c r="A10" i="5" s="1"/>
  <c r="O9" i="3"/>
  <c r="O8" i="3"/>
  <c r="A8" i="5" s="1"/>
  <c r="O7" i="3"/>
  <c r="A7" i="5" s="1"/>
  <c r="O6" i="3"/>
  <c r="A6" i="5" s="1"/>
  <c r="O5" i="3"/>
  <c r="A5" i="5" s="1"/>
  <c r="O4" i="3"/>
  <c r="A4" i="5" s="1"/>
  <c r="O3" i="3"/>
  <c r="A3" i="5" s="1"/>
  <c r="S26" i="3"/>
  <c r="E26" i="5" s="1"/>
  <c r="Q3" i="3"/>
  <c r="C3" i="5" s="1"/>
  <c r="P3" i="3"/>
  <c r="B3" i="5" s="1"/>
  <c r="M26" i="3"/>
  <c r="Q26" i="3" s="1"/>
  <c r="C26" i="5" s="1"/>
  <c r="M25" i="3"/>
  <c r="Q25" i="3" s="1"/>
  <c r="C25" i="5" s="1"/>
  <c r="M24" i="3"/>
  <c r="Q24" i="3" s="1"/>
  <c r="C24" i="5" s="1"/>
  <c r="M23" i="3"/>
  <c r="Q23" i="3" s="1"/>
  <c r="C23" i="5" s="1"/>
  <c r="M22" i="3"/>
  <c r="P22" i="3" s="1"/>
  <c r="B22" i="5" s="1"/>
  <c r="M21" i="3"/>
  <c r="Q21" i="3" s="1"/>
  <c r="C21" i="5" s="1"/>
  <c r="M20" i="3"/>
  <c r="Q20" i="3" s="1"/>
  <c r="C20" i="5" s="1"/>
  <c r="M19" i="3"/>
  <c r="Q19" i="3" s="1"/>
  <c r="C19" i="5" s="1"/>
  <c r="M18" i="3"/>
  <c r="Q18" i="3" s="1"/>
  <c r="C18" i="5" s="1"/>
  <c r="M17" i="3"/>
  <c r="Q17" i="3" s="1"/>
  <c r="C17" i="5" s="1"/>
  <c r="M16" i="3"/>
  <c r="Q16" i="3" s="1"/>
  <c r="M15" i="3"/>
  <c r="P15" i="3" s="1"/>
  <c r="B15" i="5" s="1"/>
  <c r="M14" i="3"/>
  <c r="Q14" i="3" s="1"/>
  <c r="C14" i="5" s="1"/>
  <c r="M13" i="3"/>
  <c r="Q13" i="3" s="1"/>
  <c r="C13" i="5" s="1"/>
  <c r="M12" i="3"/>
  <c r="Q12" i="3" s="1"/>
  <c r="C12" i="5" s="1"/>
  <c r="M11" i="3"/>
  <c r="Q11" i="3" s="1"/>
  <c r="C11" i="5" s="1"/>
  <c r="M10" i="3"/>
  <c r="Q10" i="3" s="1"/>
  <c r="M9" i="3"/>
  <c r="Q9" i="3" s="1"/>
  <c r="C9" i="5" s="1"/>
  <c r="M8" i="3"/>
  <c r="Q8" i="3" s="1"/>
  <c r="C8" i="5" s="1"/>
  <c r="M7" i="3"/>
  <c r="Q7" i="3" s="1"/>
  <c r="C7" i="5" s="1"/>
  <c r="M6" i="3"/>
  <c r="Q6" i="3" s="1"/>
  <c r="C6" i="5" s="1"/>
  <c r="M5" i="3"/>
  <c r="Q5" i="3" s="1"/>
  <c r="C5" i="5" s="1"/>
  <c r="M4" i="3"/>
  <c r="Q4" i="3" s="1"/>
  <c r="C4" i="5" s="1"/>
  <c r="G27" i="3"/>
  <c r="G26" i="3"/>
  <c r="G25" i="3"/>
  <c r="S25" i="3" s="1"/>
  <c r="E25" i="5" s="1"/>
  <c r="G24" i="3"/>
  <c r="S24" i="3" s="1"/>
  <c r="E24" i="5" s="1"/>
  <c r="G23" i="3"/>
  <c r="S23" i="3" s="1"/>
  <c r="E23" i="5" s="1"/>
  <c r="G22" i="3"/>
  <c r="S22" i="3" s="1"/>
  <c r="E22" i="5" s="1"/>
  <c r="G21" i="3"/>
  <c r="S21" i="3" s="1"/>
  <c r="E21" i="5" s="1"/>
  <c r="G20" i="3"/>
  <c r="S20" i="3" s="1"/>
  <c r="E20" i="5" s="1"/>
  <c r="G19" i="3"/>
  <c r="S19" i="3" s="1"/>
  <c r="E19" i="5" s="1"/>
  <c r="G18" i="3"/>
  <c r="S18" i="3" s="1"/>
  <c r="E18" i="5" s="1"/>
  <c r="G17" i="3"/>
  <c r="S17" i="3" s="1"/>
  <c r="G16" i="3"/>
  <c r="S16" i="3" s="1"/>
  <c r="E16" i="5" s="1"/>
  <c r="G15" i="3"/>
  <c r="S15" i="3" s="1"/>
  <c r="E15" i="5" s="1"/>
  <c r="G14" i="3"/>
  <c r="S14" i="3" s="1"/>
  <c r="E14" i="5" s="1"/>
  <c r="G13" i="3"/>
  <c r="S13" i="3" s="1"/>
  <c r="E13" i="5" s="1"/>
  <c r="G12" i="3"/>
  <c r="S12" i="3" s="1"/>
  <c r="E12" i="5" s="1"/>
  <c r="G11" i="3"/>
  <c r="S11" i="3" s="1"/>
  <c r="E11" i="5" s="1"/>
  <c r="G10" i="3"/>
  <c r="S10" i="3" s="1"/>
  <c r="E10" i="5" s="1"/>
  <c r="G9" i="3"/>
  <c r="S9" i="3" s="1"/>
  <c r="E9" i="5" s="1"/>
  <c r="G8" i="3"/>
  <c r="S8" i="3" s="1"/>
  <c r="E8" i="5" s="1"/>
  <c r="G7" i="3"/>
  <c r="S7" i="3" s="1"/>
  <c r="E7" i="5" s="1"/>
  <c r="G6" i="3"/>
  <c r="S6" i="3" s="1"/>
  <c r="E6" i="5" s="1"/>
  <c r="G5" i="3"/>
  <c r="S5" i="3" s="1"/>
  <c r="E5" i="5" s="1"/>
  <c r="G4" i="3"/>
  <c r="S4" i="3" s="1"/>
  <c r="E4" i="5" s="1"/>
  <c r="G3" i="3"/>
  <c r="S3" i="3" s="1"/>
  <c r="E3" i="5" s="1"/>
  <c r="F27" i="3"/>
  <c r="F26" i="3"/>
  <c r="R26" i="3" s="1"/>
  <c r="F25" i="3"/>
  <c r="R25" i="3" s="1"/>
  <c r="D25" i="5" s="1"/>
  <c r="F24" i="3"/>
  <c r="R24" i="3" s="1"/>
  <c r="T24" i="3" s="1"/>
  <c r="U24" i="3" s="1"/>
  <c r="G24" i="5" s="1"/>
  <c r="F23" i="3"/>
  <c r="R23" i="3" s="1"/>
  <c r="F22" i="3"/>
  <c r="R22" i="3" s="1"/>
  <c r="D22" i="5" s="1"/>
  <c r="F21" i="3"/>
  <c r="R21" i="3" s="1"/>
  <c r="D21" i="5" s="1"/>
  <c r="F20" i="3"/>
  <c r="R20" i="3" s="1"/>
  <c r="F19" i="3"/>
  <c r="R19" i="3" s="1"/>
  <c r="T19" i="3" s="1"/>
  <c r="U19" i="3" s="1"/>
  <c r="G19" i="5" s="1"/>
  <c r="F18" i="3"/>
  <c r="R18" i="3" s="1"/>
  <c r="F17" i="3"/>
  <c r="R17" i="3" s="1"/>
  <c r="D17" i="5" s="1"/>
  <c r="F16" i="3"/>
  <c r="R16" i="3" s="1"/>
  <c r="D16" i="5" s="1"/>
  <c r="F15" i="3"/>
  <c r="R15" i="3" s="1"/>
  <c r="D15" i="5" s="1"/>
  <c r="F14" i="3"/>
  <c r="R14" i="3" s="1"/>
  <c r="F13" i="3"/>
  <c r="R13" i="3" s="1"/>
  <c r="T13" i="3" s="1"/>
  <c r="U13" i="3" s="1"/>
  <c r="G13" i="5" s="1"/>
  <c r="F12" i="3"/>
  <c r="R12" i="3" s="1"/>
  <c r="T12" i="3" s="1"/>
  <c r="U12" i="3" s="1"/>
  <c r="G12" i="5" s="1"/>
  <c r="F11" i="3"/>
  <c r="R11" i="3" s="1"/>
  <c r="F10" i="3"/>
  <c r="R10" i="3" s="1"/>
  <c r="D10" i="5" s="1"/>
  <c r="F9" i="3"/>
  <c r="R9" i="3" s="1"/>
  <c r="T9" i="3" s="1"/>
  <c r="U9" i="3" s="1"/>
  <c r="G9" i="5" s="1"/>
  <c r="F8" i="3"/>
  <c r="R8" i="3" s="1"/>
  <c r="F7" i="3"/>
  <c r="R7" i="3" s="1"/>
  <c r="T7" i="3" s="1"/>
  <c r="U7" i="3" s="1"/>
  <c r="G7" i="5" s="1"/>
  <c r="F6" i="3"/>
  <c r="R6" i="3" s="1"/>
  <c r="D6" i="5" s="1"/>
  <c r="F5" i="3"/>
  <c r="R5" i="3" s="1"/>
  <c r="D5" i="5" s="1"/>
  <c r="F4" i="3"/>
  <c r="R4" i="3" s="1"/>
  <c r="D4" i="5" s="1"/>
  <c r="F3" i="3"/>
  <c r="R3" i="3" s="1"/>
  <c r="D3" i="5" s="1"/>
  <c r="J352" i="1"/>
  <c r="I198" i="1"/>
  <c r="I124" i="1"/>
  <c r="L67" i="1"/>
  <c r="L19" i="1"/>
  <c r="H500" i="1"/>
  <c r="K500" i="1" s="1"/>
  <c r="H499" i="1"/>
  <c r="K499" i="1" s="1"/>
  <c r="H498" i="1"/>
  <c r="K498" i="1" s="1"/>
  <c r="H497" i="1"/>
  <c r="K497" i="1" s="1"/>
  <c r="H496" i="1"/>
  <c r="K496" i="1" s="1"/>
  <c r="H495" i="1"/>
  <c r="K495" i="1" s="1"/>
  <c r="H494" i="1"/>
  <c r="K494" i="1" s="1"/>
  <c r="H493" i="1"/>
  <c r="K493" i="1" s="1"/>
  <c r="H492" i="1"/>
  <c r="K492" i="1" s="1"/>
  <c r="H491" i="1"/>
  <c r="K491" i="1" s="1"/>
  <c r="H490" i="1"/>
  <c r="K490" i="1" s="1"/>
  <c r="H489" i="1"/>
  <c r="H488" i="1"/>
  <c r="K488" i="1" s="1"/>
  <c r="H487" i="1"/>
  <c r="K487" i="1" s="1"/>
  <c r="H486" i="1"/>
  <c r="K486" i="1" s="1"/>
  <c r="H485" i="1"/>
  <c r="K485" i="1" s="1"/>
  <c r="H484" i="1"/>
  <c r="K484" i="1" s="1"/>
  <c r="H483" i="1"/>
  <c r="K483" i="1" s="1"/>
  <c r="H482" i="1"/>
  <c r="K482" i="1" s="1"/>
  <c r="H481" i="1"/>
  <c r="K481" i="1" s="1"/>
  <c r="H480" i="1"/>
  <c r="K480" i="1" s="1"/>
  <c r="H479" i="1"/>
  <c r="K479" i="1" s="1"/>
  <c r="H478" i="1"/>
  <c r="K478" i="1" s="1"/>
  <c r="H477" i="1"/>
  <c r="H476" i="1"/>
  <c r="K476" i="1" s="1"/>
  <c r="H475" i="1"/>
  <c r="K475" i="1" s="1"/>
  <c r="H474" i="1"/>
  <c r="K474" i="1" s="1"/>
  <c r="H473" i="1"/>
  <c r="K473" i="1" s="1"/>
  <c r="H472" i="1"/>
  <c r="K472" i="1" s="1"/>
  <c r="H471" i="1"/>
  <c r="K471" i="1" s="1"/>
  <c r="H470" i="1"/>
  <c r="K470" i="1" s="1"/>
  <c r="H469" i="1"/>
  <c r="K469" i="1" s="1"/>
  <c r="H468" i="1"/>
  <c r="K468" i="1" s="1"/>
  <c r="H467" i="1"/>
  <c r="K467" i="1" s="1"/>
  <c r="H466" i="1"/>
  <c r="K466" i="1" s="1"/>
  <c r="H465" i="1"/>
  <c r="H464" i="1"/>
  <c r="K464" i="1" s="1"/>
  <c r="H463" i="1"/>
  <c r="K463" i="1" s="1"/>
  <c r="H462" i="1"/>
  <c r="K462" i="1" s="1"/>
  <c r="H461" i="1"/>
  <c r="K461" i="1" s="1"/>
  <c r="H460" i="1"/>
  <c r="K460" i="1" s="1"/>
  <c r="H459" i="1"/>
  <c r="K459" i="1" s="1"/>
  <c r="H458" i="1"/>
  <c r="K458" i="1" s="1"/>
  <c r="H457" i="1"/>
  <c r="K457" i="1" s="1"/>
  <c r="H456" i="1"/>
  <c r="K456" i="1" s="1"/>
  <c r="H455" i="1"/>
  <c r="K455" i="1" s="1"/>
  <c r="H454" i="1"/>
  <c r="K454" i="1" s="1"/>
  <c r="H453" i="1"/>
  <c r="H452" i="1"/>
  <c r="K452" i="1" s="1"/>
  <c r="H451" i="1"/>
  <c r="K451" i="1" s="1"/>
  <c r="H450" i="1"/>
  <c r="K450" i="1" s="1"/>
  <c r="H449" i="1"/>
  <c r="K449" i="1" s="1"/>
  <c r="H448" i="1"/>
  <c r="K448" i="1" s="1"/>
  <c r="H447" i="1"/>
  <c r="K447" i="1" s="1"/>
  <c r="H446" i="1"/>
  <c r="K446" i="1" s="1"/>
  <c r="H445" i="1"/>
  <c r="K445" i="1" s="1"/>
  <c r="H444" i="1"/>
  <c r="K444" i="1" s="1"/>
  <c r="H443" i="1"/>
  <c r="K443" i="1" s="1"/>
  <c r="H442" i="1"/>
  <c r="K442" i="1" s="1"/>
  <c r="H441" i="1"/>
  <c r="H440" i="1"/>
  <c r="K440" i="1" s="1"/>
  <c r="H439" i="1"/>
  <c r="K439" i="1" s="1"/>
  <c r="H438" i="1"/>
  <c r="K438" i="1" s="1"/>
  <c r="H437" i="1"/>
  <c r="K437" i="1" s="1"/>
  <c r="H436" i="1"/>
  <c r="K436" i="1" s="1"/>
  <c r="H435" i="1"/>
  <c r="K435" i="1" s="1"/>
  <c r="H434" i="1"/>
  <c r="K434" i="1" s="1"/>
  <c r="H433" i="1"/>
  <c r="K433" i="1" s="1"/>
  <c r="H432" i="1"/>
  <c r="K432" i="1" s="1"/>
  <c r="H431" i="1"/>
  <c r="K431" i="1" s="1"/>
  <c r="H430" i="1"/>
  <c r="K430" i="1" s="1"/>
  <c r="H429" i="1"/>
  <c r="H428" i="1"/>
  <c r="K428" i="1" s="1"/>
  <c r="H427" i="1"/>
  <c r="K427" i="1" s="1"/>
  <c r="H426" i="1"/>
  <c r="K426" i="1" s="1"/>
  <c r="H425" i="1"/>
  <c r="K425" i="1" s="1"/>
  <c r="H424" i="1"/>
  <c r="K424" i="1" s="1"/>
  <c r="H423" i="1"/>
  <c r="K423" i="1" s="1"/>
  <c r="H422" i="1"/>
  <c r="K422" i="1" s="1"/>
  <c r="H421" i="1"/>
  <c r="K421" i="1" s="1"/>
  <c r="H420" i="1"/>
  <c r="K420" i="1" s="1"/>
  <c r="H419" i="1"/>
  <c r="K419" i="1" s="1"/>
  <c r="H418" i="1"/>
  <c r="K418" i="1" s="1"/>
  <c r="H417" i="1"/>
  <c r="H416" i="1"/>
  <c r="K416" i="1" s="1"/>
  <c r="H415" i="1"/>
  <c r="K415" i="1" s="1"/>
  <c r="H414" i="1"/>
  <c r="K414" i="1" s="1"/>
  <c r="H413" i="1"/>
  <c r="K413" i="1" s="1"/>
  <c r="H412" i="1"/>
  <c r="H411" i="1"/>
  <c r="K411" i="1" s="1"/>
  <c r="H410" i="1"/>
  <c r="K410" i="1" s="1"/>
  <c r="H409" i="1"/>
  <c r="K409" i="1" s="1"/>
  <c r="H408" i="1"/>
  <c r="K408" i="1" s="1"/>
  <c r="H407" i="1"/>
  <c r="K407" i="1" s="1"/>
  <c r="H406" i="1"/>
  <c r="K406" i="1" s="1"/>
  <c r="H405" i="1"/>
  <c r="H404" i="1"/>
  <c r="K404" i="1" s="1"/>
  <c r="H403" i="1"/>
  <c r="K403" i="1" s="1"/>
  <c r="H402" i="1"/>
  <c r="H401" i="1"/>
  <c r="K401" i="1" s="1"/>
  <c r="H400" i="1"/>
  <c r="K400" i="1" s="1"/>
  <c r="H399" i="1"/>
  <c r="K399" i="1" s="1"/>
  <c r="H398" i="1"/>
  <c r="K398" i="1" s="1"/>
  <c r="H397" i="1"/>
  <c r="K397" i="1" s="1"/>
  <c r="H396" i="1"/>
  <c r="K396" i="1" s="1"/>
  <c r="H395" i="1"/>
  <c r="K395" i="1" s="1"/>
  <c r="H394" i="1"/>
  <c r="K394" i="1" s="1"/>
  <c r="H393" i="1"/>
  <c r="H392" i="1"/>
  <c r="K392" i="1" s="1"/>
  <c r="H391" i="1"/>
  <c r="K391" i="1" s="1"/>
  <c r="H390" i="1"/>
  <c r="K390" i="1" s="1"/>
  <c r="H389" i="1"/>
  <c r="K389" i="1" s="1"/>
  <c r="H388" i="1"/>
  <c r="K388" i="1" s="1"/>
  <c r="H387" i="1"/>
  <c r="K387" i="1" s="1"/>
  <c r="H386" i="1"/>
  <c r="K386" i="1" s="1"/>
  <c r="H385" i="1"/>
  <c r="K385" i="1" s="1"/>
  <c r="H384" i="1"/>
  <c r="K384" i="1" s="1"/>
  <c r="H383" i="1"/>
  <c r="K383" i="1" s="1"/>
  <c r="H382" i="1"/>
  <c r="K382" i="1" s="1"/>
  <c r="H381" i="1"/>
  <c r="H380" i="1"/>
  <c r="K380" i="1" s="1"/>
  <c r="H379" i="1"/>
  <c r="K379" i="1" s="1"/>
  <c r="H378" i="1"/>
  <c r="K378" i="1" s="1"/>
  <c r="H377" i="1"/>
  <c r="K377" i="1" s="1"/>
  <c r="H376" i="1"/>
  <c r="K376" i="1" s="1"/>
  <c r="H375" i="1"/>
  <c r="K375" i="1" s="1"/>
  <c r="H374" i="1"/>
  <c r="H373" i="1"/>
  <c r="K373" i="1" s="1"/>
  <c r="H372" i="1"/>
  <c r="K372" i="1" s="1"/>
  <c r="H371" i="1"/>
  <c r="K371" i="1" s="1"/>
  <c r="H370" i="1"/>
  <c r="K370" i="1" s="1"/>
  <c r="H369" i="1"/>
  <c r="L369" i="1" s="1"/>
  <c r="H368" i="1"/>
  <c r="K368" i="1" s="1"/>
  <c r="H367" i="1"/>
  <c r="K367" i="1" s="1"/>
  <c r="H366" i="1"/>
  <c r="K366" i="1" s="1"/>
  <c r="H365" i="1"/>
  <c r="K365" i="1" s="1"/>
  <c r="H364" i="1"/>
  <c r="K364" i="1" s="1"/>
  <c r="H363" i="1"/>
  <c r="K363" i="1" s="1"/>
  <c r="H362" i="1"/>
  <c r="K362" i="1" s="1"/>
  <c r="H361" i="1"/>
  <c r="K361" i="1" s="1"/>
  <c r="H360" i="1"/>
  <c r="K360" i="1" s="1"/>
  <c r="H359" i="1"/>
  <c r="K359" i="1" s="1"/>
  <c r="H358" i="1"/>
  <c r="K358" i="1" s="1"/>
  <c r="H357" i="1"/>
  <c r="H356" i="1"/>
  <c r="L356" i="1" s="1"/>
  <c r="H355" i="1"/>
  <c r="K355" i="1" s="1"/>
  <c r="H354" i="1"/>
  <c r="K354" i="1" s="1"/>
  <c r="H353" i="1"/>
  <c r="K353" i="1" s="1"/>
  <c r="H352" i="1"/>
  <c r="K352" i="1" s="1"/>
  <c r="H351" i="1"/>
  <c r="K351" i="1" s="1"/>
  <c r="H350" i="1"/>
  <c r="K350" i="1" s="1"/>
  <c r="H349" i="1"/>
  <c r="K349" i="1" s="1"/>
  <c r="H348" i="1"/>
  <c r="K348" i="1" s="1"/>
  <c r="H347" i="1"/>
  <c r="K347" i="1" s="1"/>
  <c r="H346" i="1"/>
  <c r="K346" i="1" s="1"/>
  <c r="H345" i="1"/>
  <c r="H344" i="1"/>
  <c r="K344" i="1" s="1"/>
  <c r="H343" i="1"/>
  <c r="K343" i="1" s="1"/>
  <c r="H342" i="1"/>
  <c r="K342" i="1" s="1"/>
  <c r="H341" i="1"/>
  <c r="K341" i="1" s="1"/>
  <c r="H340" i="1"/>
  <c r="K340" i="1" s="1"/>
  <c r="H339" i="1"/>
  <c r="K339" i="1" s="1"/>
  <c r="H338" i="1"/>
  <c r="K338" i="1" s="1"/>
  <c r="H337" i="1"/>
  <c r="K337" i="1" s="1"/>
  <c r="H336" i="1"/>
  <c r="K336" i="1" s="1"/>
  <c r="H335" i="1"/>
  <c r="I335" i="1" s="1"/>
  <c r="H334" i="1"/>
  <c r="K334" i="1" s="1"/>
  <c r="H333" i="1"/>
  <c r="H332" i="1"/>
  <c r="K332" i="1" s="1"/>
  <c r="H331" i="1"/>
  <c r="K331" i="1" s="1"/>
  <c r="H330" i="1"/>
  <c r="K330" i="1" s="1"/>
  <c r="H329" i="1"/>
  <c r="K329" i="1" s="1"/>
  <c r="H328" i="1"/>
  <c r="K328" i="1" s="1"/>
  <c r="H327" i="1"/>
  <c r="K327" i="1" s="1"/>
  <c r="H326" i="1"/>
  <c r="H325" i="1"/>
  <c r="K325" i="1" s="1"/>
  <c r="H324" i="1"/>
  <c r="K324" i="1" s="1"/>
  <c r="H323" i="1"/>
  <c r="K323" i="1" s="1"/>
  <c r="H322" i="1"/>
  <c r="K322" i="1" s="1"/>
  <c r="H321" i="1"/>
  <c r="H320" i="1"/>
  <c r="K320" i="1" s="1"/>
  <c r="H319" i="1"/>
  <c r="K319" i="1" s="1"/>
  <c r="H318" i="1"/>
  <c r="H317" i="1"/>
  <c r="K317" i="1" s="1"/>
  <c r="H316" i="1"/>
  <c r="K316" i="1" s="1"/>
  <c r="H315" i="1"/>
  <c r="K315" i="1" s="1"/>
  <c r="H314" i="1"/>
  <c r="H313" i="1"/>
  <c r="K313" i="1" s="1"/>
  <c r="H312" i="1"/>
  <c r="K312" i="1" s="1"/>
  <c r="H311" i="1"/>
  <c r="K311" i="1" s="1"/>
  <c r="H310" i="1"/>
  <c r="K310" i="1" s="1"/>
  <c r="H309" i="1"/>
  <c r="H308" i="1"/>
  <c r="K308" i="1" s="1"/>
  <c r="H307" i="1"/>
  <c r="K307" i="1" s="1"/>
  <c r="H306" i="1"/>
  <c r="K306" i="1" s="1"/>
  <c r="H305" i="1"/>
  <c r="K305" i="1" s="1"/>
  <c r="H304" i="1"/>
  <c r="K304" i="1" s="1"/>
  <c r="H303" i="1"/>
  <c r="K303" i="1" s="1"/>
  <c r="H302" i="1"/>
  <c r="K302" i="1" s="1"/>
  <c r="H301" i="1"/>
  <c r="K301" i="1" s="1"/>
  <c r="H300" i="1"/>
  <c r="K300" i="1" s="1"/>
  <c r="H299" i="1"/>
  <c r="K299" i="1" s="1"/>
  <c r="H298" i="1"/>
  <c r="K298" i="1" s="1"/>
  <c r="H297" i="1"/>
  <c r="H296" i="1"/>
  <c r="K296" i="1" s="1"/>
  <c r="H295" i="1"/>
  <c r="K295" i="1" s="1"/>
  <c r="H294" i="1"/>
  <c r="M294" i="1" s="1"/>
  <c r="H293" i="1"/>
  <c r="K293" i="1" s="1"/>
  <c r="H292" i="1"/>
  <c r="K292" i="1" s="1"/>
  <c r="H291" i="1"/>
  <c r="K291" i="1" s="1"/>
  <c r="H290" i="1"/>
  <c r="H289" i="1"/>
  <c r="K289" i="1" s="1"/>
  <c r="H288" i="1"/>
  <c r="K288" i="1" s="1"/>
  <c r="H287" i="1"/>
  <c r="K287" i="1" s="1"/>
  <c r="H286" i="1"/>
  <c r="K286" i="1" s="1"/>
  <c r="H285" i="1"/>
  <c r="H284" i="1"/>
  <c r="H283" i="1"/>
  <c r="H282" i="1"/>
  <c r="M282" i="1" s="1"/>
  <c r="H281" i="1"/>
  <c r="K281" i="1" s="1"/>
  <c r="H280" i="1"/>
  <c r="I280" i="1" s="1"/>
  <c r="H279" i="1"/>
  <c r="I279" i="1" s="1"/>
  <c r="H278" i="1"/>
  <c r="H277" i="1"/>
  <c r="K277" i="1" s="1"/>
  <c r="H276" i="1"/>
  <c r="K276" i="1" s="1"/>
  <c r="H275" i="1"/>
  <c r="I275" i="1" s="1"/>
  <c r="H274" i="1"/>
  <c r="K274" i="1" s="1"/>
  <c r="H273" i="1"/>
  <c r="H272" i="1"/>
  <c r="I272" i="1" s="1"/>
  <c r="H271" i="1"/>
  <c r="H270" i="1"/>
  <c r="M270" i="1" s="1"/>
  <c r="H269" i="1"/>
  <c r="K269" i="1" s="1"/>
  <c r="H268" i="1"/>
  <c r="K268" i="1" s="1"/>
  <c r="H267" i="1"/>
  <c r="K267" i="1" s="1"/>
  <c r="H266" i="1"/>
  <c r="H265" i="1"/>
  <c r="K265" i="1" s="1"/>
  <c r="H264" i="1"/>
  <c r="K264" i="1" s="1"/>
  <c r="H263" i="1"/>
  <c r="I263" i="1" s="1"/>
  <c r="H262" i="1"/>
  <c r="I262" i="1" s="1"/>
  <c r="H261" i="1"/>
  <c r="H260" i="1"/>
  <c r="I260" i="1" s="1"/>
  <c r="H259" i="1"/>
  <c r="K259" i="1" s="1"/>
  <c r="H258" i="1"/>
  <c r="M258" i="1" s="1"/>
  <c r="H257" i="1"/>
  <c r="K257" i="1" s="1"/>
  <c r="H256" i="1"/>
  <c r="K256" i="1" s="1"/>
  <c r="H255" i="1"/>
  <c r="K255" i="1" s="1"/>
  <c r="H254" i="1"/>
  <c r="H253" i="1"/>
  <c r="K253" i="1" s="1"/>
  <c r="H252" i="1"/>
  <c r="K252" i="1" s="1"/>
  <c r="H251" i="1"/>
  <c r="I251" i="1" s="1"/>
  <c r="H250" i="1"/>
  <c r="K250" i="1" s="1"/>
  <c r="H249" i="1"/>
  <c r="H248" i="1"/>
  <c r="K248" i="1" s="1"/>
  <c r="H247" i="1"/>
  <c r="K247" i="1" s="1"/>
  <c r="H246" i="1"/>
  <c r="M246" i="1" s="1"/>
  <c r="H245" i="1"/>
  <c r="K245" i="1" s="1"/>
  <c r="H244" i="1"/>
  <c r="K244" i="1" s="1"/>
  <c r="H243" i="1"/>
  <c r="K243" i="1" s="1"/>
  <c r="H242" i="1"/>
  <c r="H241" i="1"/>
  <c r="K241" i="1" s="1"/>
  <c r="H240" i="1"/>
  <c r="K240" i="1" s="1"/>
  <c r="H239" i="1"/>
  <c r="L239" i="1" s="1"/>
  <c r="H238" i="1"/>
  <c r="K238" i="1" s="1"/>
  <c r="H237" i="1"/>
  <c r="H236" i="1"/>
  <c r="I236" i="1" s="1"/>
  <c r="H235" i="1"/>
  <c r="L235" i="1" s="1"/>
  <c r="H234" i="1"/>
  <c r="M234" i="1" s="1"/>
  <c r="H233" i="1"/>
  <c r="K233" i="1" s="1"/>
  <c r="H232" i="1"/>
  <c r="K232" i="1" s="1"/>
  <c r="H231" i="1"/>
  <c r="M231" i="1" s="1"/>
  <c r="H230" i="1"/>
  <c r="H229" i="1"/>
  <c r="K229" i="1" s="1"/>
  <c r="H228" i="1"/>
  <c r="K228" i="1" s="1"/>
  <c r="H227" i="1"/>
  <c r="I227" i="1" s="1"/>
  <c r="H226" i="1"/>
  <c r="K226" i="1" s="1"/>
  <c r="H225" i="1"/>
  <c r="H224" i="1"/>
  <c r="H223" i="1"/>
  <c r="H222" i="1"/>
  <c r="M222" i="1" s="1"/>
  <c r="H221" i="1"/>
  <c r="K221" i="1" s="1"/>
  <c r="H220" i="1"/>
  <c r="K220" i="1" s="1"/>
  <c r="H219" i="1"/>
  <c r="M219" i="1" s="1"/>
  <c r="H218" i="1"/>
  <c r="H217" i="1"/>
  <c r="K217" i="1" s="1"/>
  <c r="H216" i="1"/>
  <c r="K216" i="1" s="1"/>
  <c r="H215" i="1"/>
  <c r="L215" i="1" s="1"/>
  <c r="H214" i="1"/>
  <c r="K214" i="1" s="1"/>
  <c r="H213" i="1"/>
  <c r="H212" i="1"/>
  <c r="K212" i="1" s="1"/>
  <c r="H211" i="1"/>
  <c r="H210" i="1"/>
  <c r="M210" i="1" s="1"/>
  <c r="H209" i="1"/>
  <c r="K209" i="1" s="1"/>
  <c r="H208" i="1"/>
  <c r="H207" i="1"/>
  <c r="M207" i="1" s="1"/>
  <c r="H206" i="1"/>
  <c r="H205" i="1"/>
  <c r="K205" i="1" s="1"/>
  <c r="H204" i="1"/>
  <c r="K204" i="1" s="1"/>
  <c r="H203" i="1"/>
  <c r="L203" i="1" s="1"/>
  <c r="H202" i="1"/>
  <c r="K202" i="1" s="1"/>
  <c r="H201" i="1"/>
  <c r="H200" i="1"/>
  <c r="K200" i="1" s="1"/>
  <c r="H199" i="1"/>
  <c r="H198" i="1"/>
  <c r="M198" i="1" s="1"/>
  <c r="H197" i="1"/>
  <c r="K197" i="1" s="1"/>
  <c r="H196" i="1"/>
  <c r="H195" i="1"/>
  <c r="M195" i="1" s="1"/>
  <c r="H194" i="1"/>
  <c r="H193" i="1"/>
  <c r="K193" i="1" s="1"/>
  <c r="H192" i="1"/>
  <c r="K192" i="1" s="1"/>
  <c r="H191" i="1"/>
  <c r="L191" i="1" s="1"/>
  <c r="H190" i="1"/>
  <c r="K190" i="1" s="1"/>
  <c r="H189" i="1"/>
  <c r="H188" i="1"/>
  <c r="K188" i="1" s="1"/>
  <c r="H187" i="1"/>
  <c r="H186" i="1"/>
  <c r="M186" i="1" s="1"/>
  <c r="H185" i="1"/>
  <c r="H184" i="1"/>
  <c r="K184" i="1" s="1"/>
  <c r="H183" i="1"/>
  <c r="M183" i="1" s="1"/>
  <c r="H182" i="1"/>
  <c r="H181" i="1"/>
  <c r="K181" i="1" s="1"/>
  <c r="H180" i="1"/>
  <c r="I180" i="1" s="1"/>
  <c r="H179" i="1"/>
  <c r="L179" i="1" s="1"/>
  <c r="H178" i="1"/>
  <c r="K178" i="1" s="1"/>
  <c r="H177" i="1"/>
  <c r="L177" i="1" s="1"/>
  <c r="H176" i="1"/>
  <c r="J176" i="1" s="1"/>
  <c r="H175" i="1"/>
  <c r="H174" i="1"/>
  <c r="H173" i="1"/>
  <c r="K173" i="1" s="1"/>
  <c r="H172" i="1"/>
  <c r="K172" i="1" s="1"/>
  <c r="H171" i="1"/>
  <c r="M171" i="1" s="1"/>
  <c r="H170" i="1"/>
  <c r="H169" i="1"/>
  <c r="K169" i="1" s="1"/>
  <c r="H168" i="1"/>
  <c r="K168" i="1" s="1"/>
  <c r="H167" i="1"/>
  <c r="M167" i="1" s="1"/>
  <c r="H166" i="1"/>
  <c r="K166" i="1" s="1"/>
  <c r="H165" i="1"/>
  <c r="L165" i="1" s="1"/>
  <c r="H164" i="1"/>
  <c r="J164" i="1" s="1"/>
  <c r="H163" i="1"/>
  <c r="H162" i="1"/>
  <c r="H161" i="1"/>
  <c r="K161" i="1" s="1"/>
  <c r="H160" i="1"/>
  <c r="K160" i="1" s="1"/>
  <c r="H159" i="1"/>
  <c r="M159" i="1" s="1"/>
  <c r="H158" i="1"/>
  <c r="H157" i="1"/>
  <c r="K157" i="1" s="1"/>
  <c r="H156" i="1"/>
  <c r="K156" i="1" s="1"/>
  <c r="H155" i="1"/>
  <c r="M155" i="1" s="1"/>
  <c r="H154" i="1"/>
  <c r="I154" i="1" s="1"/>
  <c r="H153" i="1"/>
  <c r="L153" i="1" s="1"/>
  <c r="H152" i="1"/>
  <c r="K152" i="1" s="1"/>
  <c r="H151" i="1"/>
  <c r="H150" i="1"/>
  <c r="H149" i="1"/>
  <c r="H148" i="1"/>
  <c r="H147" i="1"/>
  <c r="M147" i="1" s="1"/>
  <c r="H146" i="1"/>
  <c r="H145" i="1"/>
  <c r="K145" i="1" s="1"/>
  <c r="H144" i="1"/>
  <c r="K144" i="1" s="1"/>
  <c r="H143" i="1"/>
  <c r="M143" i="1" s="1"/>
  <c r="H142" i="1"/>
  <c r="K142" i="1" s="1"/>
  <c r="H141" i="1"/>
  <c r="J141" i="1" s="1"/>
  <c r="H140" i="1"/>
  <c r="J140" i="1" s="1"/>
  <c r="H139" i="1"/>
  <c r="H138" i="1"/>
  <c r="M138" i="1" s="1"/>
  <c r="H137" i="1"/>
  <c r="K137" i="1" s="1"/>
  <c r="H136" i="1"/>
  <c r="K136" i="1" s="1"/>
  <c r="H135" i="1"/>
  <c r="M135" i="1" s="1"/>
  <c r="H134" i="1"/>
  <c r="H133" i="1"/>
  <c r="K133" i="1" s="1"/>
  <c r="H132" i="1"/>
  <c r="K132" i="1" s="1"/>
  <c r="H131" i="1"/>
  <c r="M131" i="1" s="1"/>
  <c r="H130" i="1"/>
  <c r="K130" i="1" s="1"/>
  <c r="H129" i="1"/>
  <c r="L129" i="1" s="1"/>
  <c r="H128" i="1"/>
  <c r="J128" i="1" s="1"/>
  <c r="H127" i="1"/>
  <c r="H126" i="1"/>
  <c r="M126" i="1" s="1"/>
  <c r="H125" i="1"/>
  <c r="H124" i="1"/>
  <c r="H123" i="1"/>
  <c r="M123" i="1" s="1"/>
  <c r="H122" i="1"/>
  <c r="H121" i="1"/>
  <c r="K121" i="1" s="1"/>
  <c r="H120" i="1"/>
  <c r="K120" i="1" s="1"/>
  <c r="H119" i="1"/>
  <c r="M119" i="1" s="1"/>
  <c r="H118" i="1"/>
  <c r="K118" i="1" s="1"/>
  <c r="H117" i="1"/>
  <c r="J117" i="1" s="1"/>
  <c r="H116" i="1"/>
  <c r="J116" i="1" s="1"/>
  <c r="H115" i="1"/>
  <c r="H114" i="1"/>
  <c r="H113" i="1"/>
  <c r="K113" i="1" s="1"/>
  <c r="H112" i="1"/>
  <c r="K112" i="1" s="1"/>
  <c r="H111" i="1"/>
  <c r="M111" i="1" s="1"/>
  <c r="H110" i="1"/>
  <c r="H109" i="1"/>
  <c r="K109" i="1" s="1"/>
  <c r="H108" i="1"/>
  <c r="K108" i="1" s="1"/>
  <c r="H107" i="1"/>
  <c r="M107" i="1" s="1"/>
  <c r="H106" i="1"/>
  <c r="K106" i="1" s="1"/>
  <c r="H105" i="1"/>
  <c r="L105" i="1" s="1"/>
  <c r="H104" i="1"/>
  <c r="M104" i="1" s="1"/>
  <c r="H103" i="1"/>
  <c r="H102" i="1"/>
  <c r="H101" i="1"/>
  <c r="H100" i="1"/>
  <c r="H99" i="1"/>
  <c r="M99" i="1" s="1"/>
  <c r="H98" i="1"/>
  <c r="H97" i="1"/>
  <c r="K97" i="1" s="1"/>
  <c r="H96" i="1"/>
  <c r="J96" i="1" s="1"/>
  <c r="H95" i="1"/>
  <c r="M95" i="1" s="1"/>
  <c r="H94" i="1"/>
  <c r="K94" i="1" s="1"/>
  <c r="H93" i="1"/>
  <c r="L93" i="1" s="1"/>
  <c r="H92" i="1"/>
  <c r="M92" i="1" s="1"/>
  <c r="H91" i="1"/>
  <c r="H90" i="1"/>
  <c r="M90" i="1" s="1"/>
  <c r="H89" i="1"/>
  <c r="K89" i="1" s="1"/>
  <c r="H88" i="1"/>
  <c r="H87" i="1"/>
  <c r="M87" i="1" s="1"/>
  <c r="H86" i="1"/>
  <c r="H85" i="1"/>
  <c r="K85" i="1" s="1"/>
  <c r="H84" i="1"/>
  <c r="K84" i="1" s="1"/>
  <c r="H83" i="1"/>
  <c r="M83" i="1" s="1"/>
  <c r="H82" i="1"/>
  <c r="K82" i="1" s="1"/>
  <c r="H81" i="1"/>
  <c r="L81" i="1" s="1"/>
  <c r="H80" i="1"/>
  <c r="M80" i="1" s="1"/>
  <c r="H79" i="1"/>
  <c r="L79" i="1" s="1"/>
  <c r="H78" i="1"/>
  <c r="H77" i="1"/>
  <c r="K77" i="1" s="1"/>
  <c r="H76" i="1"/>
  <c r="M76" i="1" s="1"/>
  <c r="H75" i="1"/>
  <c r="M75" i="1" s="1"/>
  <c r="H74" i="1"/>
  <c r="H73" i="1"/>
  <c r="K73" i="1" s="1"/>
  <c r="H72" i="1"/>
  <c r="K72" i="1" s="1"/>
  <c r="H71" i="1"/>
  <c r="M71" i="1" s="1"/>
  <c r="H70" i="1"/>
  <c r="K70" i="1" s="1"/>
  <c r="H69" i="1"/>
  <c r="L69" i="1" s="1"/>
  <c r="H68" i="1"/>
  <c r="M68" i="1" s="1"/>
  <c r="H67" i="1"/>
  <c r="H66" i="1"/>
  <c r="H65" i="1"/>
  <c r="K65" i="1" s="1"/>
  <c r="H64" i="1"/>
  <c r="M64" i="1" s="1"/>
  <c r="H63" i="1"/>
  <c r="M63" i="1" s="1"/>
  <c r="H62" i="1"/>
  <c r="H61" i="1"/>
  <c r="K61" i="1" s="1"/>
  <c r="H60" i="1"/>
  <c r="K60" i="1" s="1"/>
  <c r="H59" i="1"/>
  <c r="M59" i="1" s="1"/>
  <c r="H58" i="1"/>
  <c r="K58" i="1" s="1"/>
  <c r="H57" i="1"/>
  <c r="L57" i="1" s="1"/>
  <c r="H56" i="1"/>
  <c r="M56" i="1" s="1"/>
  <c r="H55" i="1"/>
  <c r="H54" i="1"/>
  <c r="H53" i="1"/>
  <c r="K53" i="1" s="1"/>
  <c r="H52" i="1"/>
  <c r="M52" i="1" s="1"/>
  <c r="H51" i="1"/>
  <c r="M51" i="1" s="1"/>
  <c r="H50" i="1"/>
  <c r="H49" i="1"/>
  <c r="K49" i="1" s="1"/>
  <c r="H48" i="1"/>
  <c r="K48" i="1" s="1"/>
  <c r="H47" i="1"/>
  <c r="M47" i="1" s="1"/>
  <c r="H46" i="1"/>
  <c r="K46" i="1" s="1"/>
  <c r="H45" i="1"/>
  <c r="L45" i="1" s="1"/>
  <c r="H44" i="1"/>
  <c r="M44" i="1" s="1"/>
  <c r="H43" i="1"/>
  <c r="H42" i="1"/>
  <c r="H41" i="1"/>
  <c r="K41" i="1" s="1"/>
  <c r="H40" i="1"/>
  <c r="M40" i="1" s="1"/>
  <c r="H39" i="1"/>
  <c r="M39" i="1" s="1"/>
  <c r="H38" i="1"/>
  <c r="H37" i="1"/>
  <c r="K37" i="1" s="1"/>
  <c r="H36" i="1"/>
  <c r="K36" i="1" s="1"/>
  <c r="H35" i="1"/>
  <c r="M35" i="1" s="1"/>
  <c r="H34" i="1"/>
  <c r="K34" i="1" s="1"/>
  <c r="H33" i="1"/>
  <c r="L33" i="1" s="1"/>
  <c r="H32" i="1"/>
  <c r="M32" i="1" s="1"/>
  <c r="H31" i="1"/>
  <c r="L31" i="1" s="1"/>
  <c r="H30" i="1"/>
  <c r="H29" i="1"/>
  <c r="K29" i="1" s="1"/>
  <c r="H28" i="1"/>
  <c r="M28" i="1" s="1"/>
  <c r="H27" i="1"/>
  <c r="M27" i="1" s="1"/>
  <c r="H26" i="1"/>
  <c r="H25" i="1"/>
  <c r="K25" i="1" s="1"/>
  <c r="H24" i="1"/>
  <c r="K24" i="1" s="1"/>
  <c r="H23" i="1"/>
  <c r="M23" i="1" s="1"/>
  <c r="H22" i="1"/>
  <c r="K22" i="1" s="1"/>
  <c r="H21" i="1"/>
  <c r="L21" i="1" s="1"/>
  <c r="H20" i="1"/>
  <c r="M20" i="1" s="1"/>
  <c r="H19" i="1"/>
  <c r="H18" i="1"/>
  <c r="H17" i="1"/>
  <c r="K17" i="1" s="1"/>
  <c r="H16" i="1"/>
  <c r="M16" i="1" s="1"/>
  <c r="H15" i="1"/>
  <c r="M15" i="1" s="1"/>
  <c r="H14" i="1"/>
  <c r="H13" i="1"/>
  <c r="K13" i="1" s="1"/>
  <c r="H12" i="1"/>
  <c r="K12" i="1" s="1"/>
  <c r="H11" i="1"/>
  <c r="M11" i="1" s="1"/>
  <c r="H10" i="1"/>
  <c r="K10" i="1" s="1"/>
  <c r="H9" i="1"/>
  <c r="L9" i="1" s="1"/>
  <c r="H8" i="1"/>
  <c r="M8" i="1" s="1"/>
  <c r="H7" i="1"/>
  <c r="H6" i="1"/>
  <c r="H5" i="1"/>
  <c r="K5" i="1" s="1"/>
  <c r="H4" i="1"/>
  <c r="M4" i="1" s="1"/>
  <c r="H3" i="1"/>
  <c r="M3" i="1" s="1"/>
  <c r="H2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X11" i="3" l="1"/>
  <c r="X23" i="3"/>
  <c r="D9" i="5"/>
  <c r="X12" i="3"/>
  <c r="X24" i="3"/>
  <c r="T11" i="3"/>
  <c r="T23" i="3"/>
  <c r="X14" i="3"/>
  <c r="X26" i="3"/>
  <c r="X3" i="3"/>
  <c r="X15" i="3"/>
  <c r="F24" i="5"/>
  <c r="D23" i="5"/>
  <c r="F12" i="5"/>
  <c r="D11" i="5"/>
  <c r="T14" i="3"/>
  <c r="X4" i="3"/>
  <c r="X16" i="3"/>
  <c r="X17" i="3"/>
  <c r="D24" i="5"/>
  <c r="F19" i="5"/>
  <c r="F13" i="5"/>
  <c r="D12" i="5"/>
  <c r="F7" i="5"/>
  <c r="X5" i="3"/>
  <c r="D19" i="5"/>
  <c r="D13" i="5"/>
  <c r="D7" i="5"/>
  <c r="M2" i="1"/>
  <c r="M14" i="1"/>
  <c r="M26" i="1"/>
  <c r="M38" i="1"/>
  <c r="M50" i="1"/>
  <c r="M62" i="1"/>
  <c r="M74" i="1"/>
  <c r="M86" i="1"/>
  <c r="M98" i="1"/>
  <c r="M110" i="1"/>
  <c r="M122" i="1"/>
  <c r="M134" i="1"/>
  <c r="M146" i="1"/>
  <c r="M158" i="1"/>
  <c r="M170" i="1"/>
  <c r="M182" i="1"/>
  <c r="M194" i="1"/>
  <c r="M206" i="1"/>
  <c r="M218" i="1"/>
  <c r="M230" i="1"/>
  <c r="M242" i="1"/>
  <c r="M254" i="1"/>
  <c r="M266" i="1"/>
  <c r="M278" i="1"/>
  <c r="M290" i="1"/>
  <c r="J314" i="1"/>
  <c r="J326" i="1"/>
  <c r="I374" i="1"/>
  <c r="L23" i="1"/>
  <c r="L71" i="1"/>
  <c r="J129" i="1"/>
  <c r="J203" i="1"/>
  <c r="I407" i="1"/>
  <c r="K154" i="1"/>
  <c r="K262" i="1"/>
  <c r="L27" i="1"/>
  <c r="L75" i="1"/>
  <c r="L138" i="1"/>
  <c r="I210" i="1"/>
  <c r="K11" i="1"/>
  <c r="K23" i="1"/>
  <c r="K35" i="1"/>
  <c r="K47" i="1"/>
  <c r="K59" i="1"/>
  <c r="K71" i="1"/>
  <c r="K83" i="1"/>
  <c r="K95" i="1"/>
  <c r="K107" i="1"/>
  <c r="K119" i="1"/>
  <c r="K131" i="1"/>
  <c r="K143" i="1"/>
  <c r="K155" i="1"/>
  <c r="K167" i="1"/>
  <c r="K179" i="1"/>
  <c r="K191" i="1"/>
  <c r="K203" i="1"/>
  <c r="K215" i="1"/>
  <c r="K227" i="1"/>
  <c r="K239" i="1"/>
  <c r="K251" i="1"/>
  <c r="K263" i="1"/>
  <c r="K275" i="1"/>
  <c r="K335" i="1"/>
  <c r="M88" i="1"/>
  <c r="M100" i="1"/>
  <c r="J124" i="1"/>
  <c r="J148" i="1"/>
  <c r="J196" i="1"/>
  <c r="J208" i="1"/>
  <c r="L412" i="1"/>
  <c r="J143" i="1"/>
  <c r="J215" i="1"/>
  <c r="K96" i="1"/>
  <c r="K180" i="1"/>
  <c r="L101" i="1"/>
  <c r="J125" i="1"/>
  <c r="L149" i="1"/>
  <c r="L185" i="1"/>
  <c r="L35" i="1"/>
  <c r="L83" i="1"/>
  <c r="I148" i="1"/>
  <c r="L222" i="1"/>
  <c r="M6" i="1"/>
  <c r="M18" i="1"/>
  <c r="M30" i="1"/>
  <c r="M42" i="1"/>
  <c r="M54" i="1"/>
  <c r="M66" i="1"/>
  <c r="M78" i="1"/>
  <c r="M102" i="1"/>
  <c r="M114" i="1"/>
  <c r="M150" i="1"/>
  <c r="M162" i="1"/>
  <c r="M174" i="1"/>
  <c r="I318" i="1"/>
  <c r="I402" i="1"/>
  <c r="L39" i="1"/>
  <c r="L87" i="1"/>
  <c r="K2" i="1"/>
  <c r="K14" i="1"/>
  <c r="K26" i="1"/>
  <c r="K38" i="1"/>
  <c r="K50" i="1"/>
  <c r="K62" i="1"/>
  <c r="K74" i="1"/>
  <c r="K86" i="1"/>
  <c r="K98" i="1"/>
  <c r="K110" i="1"/>
  <c r="K122" i="1"/>
  <c r="K134" i="1"/>
  <c r="K146" i="1"/>
  <c r="K158" i="1"/>
  <c r="K170" i="1"/>
  <c r="K182" i="1"/>
  <c r="K194" i="1"/>
  <c r="K206" i="1"/>
  <c r="K218" i="1"/>
  <c r="K230" i="1"/>
  <c r="K242" i="1"/>
  <c r="K254" i="1"/>
  <c r="K266" i="1"/>
  <c r="K278" i="1"/>
  <c r="K290" i="1"/>
  <c r="K314" i="1"/>
  <c r="K326" i="1"/>
  <c r="K374" i="1"/>
  <c r="M7" i="1"/>
  <c r="M19" i="1"/>
  <c r="M31" i="1"/>
  <c r="M43" i="1"/>
  <c r="M55" i="1"/>
  <c r="M67" i="1"/>
  <c r="M79" i="1"/>
  <c r="M91" i="1"/>
  <c r="M103" i="1"/>
  <c r="M115" i="1"/>
  <c r="M127" i="1"/>
  <c r="M139" i="1"/>
  <c r="M151" i="1"/>
  <c r="M163" i="1"/>
  <c r="M175" i="1"/>
  <c r="M187" i="1"/>
  <c r="M199" i="1"/>
  <c r="J211" i="1"/>
  <c r="L223" i="1"/>
  <c r="J235" i="1"/>
  <c r="I271" i="1"/>
  <c r="I283" i="1"/>
  <c r="L43" i="1"/>
  <c r="I92" i="1"/>
  <c r="I159" i="1"/>
  <c r="I243" i="1"/>
  <c r="K3" i="1"/>
  <c r="K15" i="1"/>
  <c r="K27" i="1"/>
  <c r="K39" i="1"/>
  <c r="K51" i="1"/>
  <c r="K63" i="1"/>
  <c r="K75" i="1"/>
  <c r="K87" i="1"/>
  <c r="K99" i="1"/>
  <c r="K111" i="1"/>
  <c r="K123" i="1"/>
  <c r="K135" i="1"/>
  <c r="K147" i="1"/>
  <c r="K159" i="1"/>
  <c r="K171" i="1"/>
  <c r="K183" i="1"/>
  <c r="K195" i="1"/>
  <c r="K207" i="1"/>
  <c r="K219" i="1"/>
  <c r="K231" i="1"/>
  <c r="K279" i="1"/>
  <c r="I224" i="1"/>
  <c r="I284" i="1"/>
  <c r="L47" i="1"/>
  <c r="I164" i="1"/>
  <c r="K4" i="1"/>
  <c r="K16" i="1"/>
  <c r="K28" i="1"/>
  <c r="K40" i="1"/>
  <c r="K52" i="1"/>
  <c r="K64" i="1"/>
  <c r="K76" i="1"/>
  <c r="K88" i="1"/>
  <c r="K100" i="1"/>
  <c r="K124" i="1"/>
  <c r="K148" i="1"/>
  <c r="K196" i="1"/>
  <c r="K208" i="1"/>
  <c r="K280" i="1"/>
  <c r="K412" i="1"/>
  <c r="L3" i="1"/>
  <c r="L51" i="1"/>
  <c r="L100" i="1"/>
  <c r="I175" i="1"/>
  <c r="K101" i="1"/>
  <c r="K125" i="1"/>
  <c r="K149" i="1"/>
  <c r="K185" i="1"/>
  <c r="I10" i="1"/>
  <c r="I22" i="1"/>
  <c r="I34" i="1"/>
  <c r="I46" i="1"/>
  <c r="I58" i="1"/>
  <c r="I70" i="1"/>
  <c r="I82" i="1"/>
  <c r="L94" i="1"/>
  <c r="L106" i="1"/>
  <c r="L130" i="1"/>
  <c r="L154" i="1"/>
  <c r="L166" i="1"/>
  <c r="J178" i="1"/>
  <c r="L226" i="1"/>
  <c r="L238" i="1"/>
  <c r="L250" i="1"/>
  <c r="L262" i="1"/>
  <c r="L274" i="1"/>
  <c r="J286" i="1"/>
  <c r="L298" i="1"/>
  <c r="I310" i="1"/>
  <c r="J322" i="1"/>
  <c r="L7" i="1"/>
  <c r="L55" i="1"/>
  <c r="J105" i="1"/>
  <c r="L270" i="1"/>
  <c r="K6" i="1"/>
  <c r="K18" i="1"/>
  <c r="K30" i="1"/>
  <c r="K42" i="1"/>
  <c r="K54" i="1"/>
  <c r="K66" i="1"/>
  <c r="K78" i="1"/>
  <c r="K90" i="1"/>
  <c r="K102" i="1"/>
  <c r="K114" i="1"/>
  <c r="K126" i="1"/>
  <c r="K138" i="1"/>
  <c r="K150" i="1"/>
  <c r="K162" i="1"/>
  <c r="K174" i="1"/>
  <c r="K186" i="1"/>
  <c r="K198" i="1"/>
  <c r="K210" i="1"/>
  <c r="K222" i="1"/>
  <c r="K234" i="1"/>
  <c r="K246" i="1"/>
  <c r="K258" i="1"/>
  <c r="K270" i="1"/>
  <c r="K282" i="1"/>
  <c r="K294" i="1"/>
  <c r="K318" i="1"/>
  <c r="K402" i="1"/>
  <c r="I383" i="1"/>
  <c r="L11" i="1"/>
  <c r="L59" i="1"/>
  <c r="L114" i="1"/>
  <c r="I186" i="1"/>
  <c r="K7" i="1"/>
  <c r="K19" i="1"/>
  <c r="K31" i="1"/>
  <c r="K43" i="1"/>
  <c r="K55" i="1"/>
  <c r="K67" i="1"/>
  <c r="K79" i="1"/>
  <c r="K91" i="1"/>
  <c r="K103" i="1"/>
  <c r="K115" i="1"/>
  <c r="K127" i="1"/>
  <c r="K139" i="1"/>
  <c r="K151" i="1"/>
  <c r="K163" i="1"/>
  <c r="K175" i="1"/>
  <c r="K187" i="1"/>
  <c r="K199" i="1"/>
  <c r="K211" i="1"/>
  <c r="K223" i="1"/>
  <c r="K235" i="1"/>
  <c r="K271" i="1"/>
  <c r="K283" i="1"/>
  <c r="L12" i="1"/>
  <c r="L24" i="1"/>
  <c r="L36" i="1"/>
  <c r="L48" i="1"/>
  <c r="L60" i="1"/>
  <c r="L72" i="1"/>
  <c r="L84" i="1"/>
  <c r="L96" i="1"/>
  <c r="J108" i="1"/>
  <c r="J120" i="1"/>
  <c r="J132" i="1"/>
  <c r="J144" i="1"/>
  <c r="J156" i="1"/>
  <c r="I168" i="1"/>
  <c r="J180" i="1"/>
  <c r="J192" i="1"/>
  <c r="J204" i="1"/>
  <c r="I216" i="1"/>
  <c r="I228" i="1"/>
  <c r="I240" i="1"/>
  <c r="I252" i="1"/>
  <c r="I264" i="1"/>
  <c r="I276" i="1"/>
  <c r="I348" i="1"/>
  <c r="L444" i="1"/>
  <c r="L492" i="1"/>
  <c r="L15" i="1"/>
  <c r="L63" i="1"/>
  <c r="J119" i="1"/>
  <c r="J191" i="1"/>
  <c r="J310" i="1"/>
  <c r="K8" i="1"/>
  <c r="K20" i="1"/>
  <c r="K32" i="1"/>
  <c r="K44" i="1"/>
  <c r="K56" i="1"/>
  <c r="K68" i="1"/>
  <c r="K80" i="1"/>
  <c r="K92" i="1"/>
  <c r="K104" i="1"/>
  <c r="K116" i="1"/>
  <c r="K128" i="1"/>
  <c r="K140" i="1"/>
  <c r="K164" i="1"/>
  <c r="K176" i="1"/>
  <c r="K224" i="1"/>
  <c r="K236" i="1"/>
  <c r="K260" i="1"/>
  <c r="K272" i="1"/>
  <c r="K284" i="1"/>
  <c r="K356" i="1"/>
  <c r="L386" i="1"/>
  <c r="M386" i="1"/>
  <c r="J386" i="1"/>
  <c r="I386" i="1"/>
  <c r="M13" i="1"/>
  <c r="M25" i="1"/>
  <c r="M37" i="1"/>
  <c r="M49" i="1"/>
  <c r="M61" i="1"/>
  <c r="M73" i="1"/>
  <c r="M85" i="1"/>
  <c r="M97" i="1"/>
  <c r="I97" i="1"/>
  <c r="I109" i="1"/>
  <c r="M109" i="1"/>
  <c r="I121" i="1"/>
  <c r="I133" i="1"/>
  <c r="M133" i="1"/>
  <c r="I145" i="1"/>
  <c r="M145" i="1"/>
  <c r="J157" i="1"/>
  <c r="I157" i="1"/>
  <c r="M157" i="1"/>
  <c r="J169" i="1"/>
  <c r="I169" i="1"/>
  <c r="M169" i="1"/>
  <c r="J181" i="1"/>
  <c r="I181" i="1"/>
  <c r="M181" i="1"/>
  <c r="L193" i="1"/>
  <c r="J193" i="1"/>
  <c r="I193" i="1"/>
  <c r="M193" i="1"/>
  <c r="L205" i="1"/>
  <c r="J205" i="1"/>
  <c r="I205" i="1"/>
  <c r="M205" i="1"/>
  <c r="L217" i="1"/>
  <c r="J217" i="1"/>
  <c r="M217" i="1"/>
  <c r="I217" i="1"/>
  <c r="L229" i="1"/>
  <c r="M229" i="1"/>
  <c r="J229" i="1"/>
  <c r="I229" i="1"/>
  <c r="M241" i="1"/>
  <c r="L241" i="1"/>
  <c r="J241" i="1"/>
  <c r="I241" i="1"/>
  <c r="L253" i="1"/>
  <c r="J253" i="1"/>
  <c r="I253" i="1"/>
  <c r="M253" i="1"/>
  <c r="L265" i="1"/>
  <c r="J265" i="1"/>
  <c r="I265" i="1"/>
  <c r="L277" i="1"/>
  <c r="J277" i="1"/>
  <c r="I277" i="1"/>
  <c r="M277" i="1"/>
  <c r="L289" i="1"/>
  <c r="J289" i="1"/>
  <c r="I289" i="1"/>
  <c r="M289" i="1"/>
  <c r="L301" i="1"/>
  <c r="J301" i="1"/>
  <c r="I301" i="1"/>
  <c r="M301" i="1"/>
  <c r="L313" i="1"/>
  <c r="J313" i="1"/>
  <c r="I313" i="1"/>
  <c r="M313" i="1"/>
  <c r="L325" i="1"/>
  <c r="J325" i="1"/>
  <c r="I325" i="1"/>
  <c r="M325" i="1"/>
  <c r="L337" i="1"/>
  <c r="J337" i="1"/>
  <c r="M337" i="1"/>
  <c r="I337" i="1"/>
  <c r="M349" i="1"/>
  <c r="L349" i="1"/>
  <c r="J349" i="1"/>
  <c r="I349" i="1"/>
  <c r="M361" i="1"/>
  <c r="L361" i="1"/>
  <c r="J361" i="1"/>
  <c r="J373" i="1"/>
  <c r="M373" i="1"/>
  <c r="I373" i="1"/>
  <c r="L373" i="1"/>
  <c r="M385" i="1"/>
  <c r="L385" i="1"/>
  <c r="J385" i="1"/>
  <c r="I385" i="1"/>
  <c r="L397" i="1"/>
  <c r="M397" i="1"/>
  <c r="I397" i="1"/>
  <c r="L409" i="1"/>
  <c r="J409" i="1"/>
  <c r="I409" i="1"/>
  <c r="M421" i="1"/>
  <c r="L421" i="1"/>
  <c r="I421" i="1"/>
  <c r="L433" i="1"/>
  <c r="J433" i="1"/>
  <c r="I433" i="1"/>
  <c r="M433" i="1"/>
  <c r="L445" i="1"/>
  <c r="J445" i="1"/>
  <c r="I445" i="1"/>
  <c r="M445" i="1"/>
  <c r="L457" i="1"/>
  <c r="J457" i="1"/>
  <c r="I457" i="1"/>
  <c r="M457" i="1"/>
  <c r="L469" i="1"/>
  <c r="J469" i="1"/>
  <c r="I469" i="1"/>
  <c r="M469" i="1"/>
  <c r="L481" i="1"/>
  <c r="J481" i="1"/>
  <c r="I481" i="1"/>
  <c r="M481" i="1"/>
  <c r="L493" i="1"/>
  <c r="J493" i="1"/>
  <c r="I493" i="1"/>
  <c r="M493" i="1"/>
  <c r="J3" i="1"/>
  <c r="J7" i="1"/>
  <c r="J11" i="1"/>
  <c r="J15" i="1"/>
  <c r="J19" i="1"/>
  <c r="J23" i="1"/>
  <c r="J27" i="1"/>
  <c r="J31" i="1"/>
  <c r="J35" i="1"/>
  <c r="J39" i="1"/>
  <c r="J43" i="1"/>
  <c r="J47" i="1"/>
  <c r="J51" i="1"/>
  <c r="J55" i="1"/>
  <c r="J59" i="1"/>
  <c r="J63" i="1"/>
  <c r="J67" i="1"/>
  <c r="J71" i="1"/>
  <c r="J75" i="1"/>
  <c r="J79" i="1"/>
  <c r="J83" i="1"/>
  <c r="J87" i="1"/>
  <c r="L91" i="1"/>
  <c r="I96" i="1"/>
  <c r="J100" i="1"/>
  <c r="L104" i="1"/>
  <c r="L109" i="1"/>
  <c r="J114" i="1"/>
  <c r="I119" i="1"/>
  <c r="L123" i="1"/>
  <c r="L133" i="1"/>
  <c r="J138" i="1"/>
  <c r="I143" i="1"/>
  <c r="L147" i="1"/>
  <c r="L158" i="1"/>
  <c r="L163" i="1"/>
  <c r="L169" i="1"/>
  <c r="L174" i="1"/>
  <c r="I191" i="1"/>
  <c r="I203" i="1"/>
  <c r="I215" i="1"/>
  <c r="J222" i="1"/>
  <c r="L242" i="1"/>
  <c r="J270" i="1"/>
  <c r="J290" i="1"/>
  <c r="L350" i="1"/>
  <c r="M350" i="1"/>
  <c r="J350" i="1"/>
  <c r="I350" i="1"/>
  <c r="L494" i="1"/>
  <c r="J494" i="1"/>
  <c r="I494" i="1"/>
  <c r="M494" i="1"/>
  <c r="M243" i="1"/>
  <c r="L243" i="1"/>
  <c r="M255" i="1"/>
  <c r="L255" i="1"/>
  <c r="J255" i="1"/>
  <c r="M267" i="1"/>
  <c r="L267" i="1"/>
  <c r="J267" i="1"/>
  <c r="M279" i="1"/>
  <c r="L279" i="1"/>
  <c r="J279" i="1"/>
  <c r="M291" i="1"/>
  <c r="L291" i="1"/>
  <c r="J291" i="1"/>
  <c r="I291" i="1"/>
  <c r="M303" i="1"/>
  <c r="L303" i="1"/>
  <c r="J303" i="1"/>
  <c r="I303" i="1"/>
  <c r="M315" i="1"/>
  <c r="L315" i="1"/>
  <c r="J315" i="1"/>
  <c r="I315" i="1"/>
  <c r="M327" i="1"/>
  <c r="L327" i="1"/>
  <c r="J327" i="1"/>
  <c r="I327" i="1"/>
  <c r="M339" i="1"/>
  <c r="L339" i="1"/>
  <c r="I339" i="1"/>
  <c r="M351" i="1"/>
  <c r="L351" i="1"/>
  <c r="J351" i="1"/>
  <c r="I351" i="1"/>
  <c r="M363" i="1"/>
  <c r="L363" i="1"/>
  <c r="J363" i="1"/>
  <c r="I363" i="1"/>
  <c r="M375" i="1"/>
  <c r="L375" i="1"/>
  <c r="J375" i="1"/>
  <c r="I375" i="1"/>
  <c r="J387" i="1"/>
  <c r="M387" i="1"/>
  <c r="I387" i="1"/>
  <c r="L387" i="1"/>
  <c r="J399" i="1"/>
  <c r="M399" i="1"/>
  <c r="L399" i="1"/>
  <c r="I399" i="1"/>
  <c r="J411" i="1"/>
  <c r="M411" i="1"/>
  <c r="L411" i="1"/>
  <c r="I411" i="1"/>
  <c r="L423" i="1"/>
  <c r="J423" i="1"/>
  <c r="I423" i="1"/>
  <c r="M423" i="1"/>
  <c r="L435" i="1"/>
  <c r="J435" i="1"/>
  <c r="I435" i="1"/>
  <c r="M435" i="1"/>
  <c r="L447" i="1"/>
  <c r="J447" i="1"/>
  <c r="I447" i="1"/>
  <c r="M447" i="1"/>
  <c r="L459" i="1"/>
  <c r="J459" i="1"/>
  <c r="I459" i="1"/>
  <c r="M459" i="1"/>
  <c r="L471" i="1"/>
  <c r="J471" i="1"/>
  <c r="I471" i="1"/>
  <c r="M471" i="1"/>
  <c r="L483" i="1"/>
  <c r="J483" i="1"/>
  <c r="I483" i="1"/>
  <c r="M483" i="1"/>
  <c r="L495" i="1"/>
  <c r="J495" i="1"/>
  <c r="I495" i="1"/>
  <c r="M495" i="1"/>
  <c r="I4" i="1"/>
  <c r="I8" i="1"/>
  <c r="I12" i="1"/>
  <c r="I16" i="1"/>
  <c r="I20" i="1"/>
  <c r="I24" i="1"/>
  <c r="I28" i="1"/>
  <c r="I32" i="1"/>
  <c r="I36" i="1"/>
  <c r="I40" i="1"/>
  <c r="I44" i="1"/>
  <c r="I48" i="1"/>
  <c r="I52" i="1"/>
  <c r="I56" i="1"/>
  <c r="I60" i="1"/>
  <c r="I64" i="1"/>
  <c r="I68" i="1"/>
  <c r="I72" i="1"/>
  <c r="I76" i="1"/>
  <c r="I80" i="1"/>
  <c r="I84" i="1"/>
  <c r="I88" i="1"/>
  <c r="J92" i="1"/>
  <c r="J101" i="1"/>
  <c r="J110" i="1"/>
  <c r="I115" i="1"/>
  <c r="L119" i="1"/>
  <c r="J134" i="1"/>
  <c r="I139" i="1"/>
  <c r="L143" i="1"/>
  <c r="J154" i="1"/>
  <c r="J159" i="1"/>
  <c r="J170" i="1"/>
  <c r="J175" i="1"/>
  <c r="J186" i="1"/>
  <c r="J198" i="1"/>
  <c r="J210" i="1"/>
  <c r="I223" i="1"/>
  <c r="J230" i="1"/>
  <c r="J243" i="1"/>
  <c r="J262" i="1"/>
  <c r="I282" i="1"/>
  <c r="I294" i="1"/>
  <c r="I314" i="1"/>
  <c r="L398" i="1"/>
  <c r="M398" i="1"/>
  <c r="J398" i="1"/>
  <c r="I398" i="1"/>
  <c r="I110" i="1"/>
  <c r="L290" i="1"/>
  <c r="M112" i="1"/>
  <c r="L112" i="1"/>
  <c r="M124" i="1"/>
  <c r="L124" i="1"/>
  <c r="M136" i="1"/>
  <c r="L136" i="1"/>
  <c r="M148" i="1"/>
  <c r="L148" i="1"/>
  <c r="M160" i="1"/>
  <c r="L160" i="1"/>
  <c r="M172" i="1"/>
  <c r="L172" i="1"/>
  <c r="M184" i="1"/>
  <c r="L184" i="1"/>
  <c r="M196" i="1"/>
  <c r="L196" i="1"/>
  <c r="M208" i="1"/>
  <c r="L208" i="1"/>
  <c r="M220" i="1"/>
  <c r="L220" i="1"/>
  <c r="J220" i="1"/>
  <c r="M232" i="1"/>
  <c r="L232" i="1"/>
  <c r="J232" i="1"/>
  <c r="M244" i="1"/>
  <c r="L244" i="1"/>
  <c r="J244" i="1"/>
  <c r="M256" i="1"/>
  <c r="L256" i="1"/>
  <c r="J256" i="1"/>
  <c r="M268" i="1"/>
  <c r="L268" i="1"/>
  <c r="J268" i="1"/>
  <c r="M280" i="1"/>
  <c r="L280" i="1"/>
  <c r="J280" i="1"/>
  <c r="M292" i="1"/>
  <c r="L292" i="1"/>
  <c r="J292" i="1"/>
  <c r="I292" i="1"/>
  <c r="M304" i="1"/>
  <c r="L304" i="1"/>
  <c r="J304" i="1"/>
  <c r="I304" i="1"/>
  <c r="M316" i="1"/>
  <c r="L316" i="1"/>
  <c r="J316" i="1"/>
  <c r="I316" i="1"/>
  <c r="M328" i="1"/>
  <c r="L328" i="1"/>
  <c r="J328" i="1"/>
  <c r="I328" i="1"/>
  <c r="M340" i="1"/>
  <c r="L340" i="1"/>
  <c r="J340" i="1"/>
  <c r="I340" i="1"/>
  <c r="M352" i="1"/>
  <c r="L352" i="1"/>
  <c r="I352" i="1"/>
  <c r="M364" i="1"/>
  <c r="L364" i="1"/>
  <c r="J364" i="1"/>
  <c r="I364" i="1"/>
  <c r="M376" i="1"/>
  <c r="L376" i="1"/>
  <c r="J376" i="1"/>
  <c r="I376" i="1"/>
  <c r="M388" i="1"/>
  <c r="L388" i="1"/>
  <c r="J388" i="1"/>
  <c r="M400" i="1"/>
  <c r="L400" i="1"/>
  <c r="J400" i="1"/>
  <c r="I400" i="1"/>
  <c r="I412" i="1"/>
  <c r="M412" i="1"/>
  <c r="J412" i="1"/>
  <c r="I424" i="1"/>
  <c r="M424" i="1"/>
  <c r="L424" i="1"/>
  <c r="J424" i="1"/>
  <c r="I436" i="1"/>
  <c r="M436" i="1"/>
  <c r="J436" i="1"/>
  <c r="L436" i="1"/>
  <c r="I448" i="1"/>
  <c r="M448" i="1"/>
  <c r="J448" i="1"/>
  <c r="L448" i="1"/>
  <c r="I460" i="1"/>
  <c r="M460" i="1"/>
  <c r="J460" i="1"/>
  <c r="L460" i="1"/>
  <c r="I472" i="1"/>
  <c r="M472" i="1"/>
  <c r="J472" i="1"/>
  <c r="L472" i="1"/>
  <c r="I484" i="1"/>
  <c r="M484" i="1"/>
  <c r="J484" i="1"/>
  <c r="L484" i="1"/>
  <c r="I496" i="1"/>
  <c r="M496" i="1"/>
  <c r="J496" i="1"/>
  <c r="L496" i="1"/>
  <c r="J4" i="1"/>
  <c r="J8" i="1"/>
  <c r="J12" i="1"/>
  <c r="J16" i="1"/>
  <c r="J20" i="1"/>
  <c r="J24" i="1"/>
  <c r="J28" i="1"/>
  <c r="J32" i="1"/>
  <c r="J36" i="1"/>
  <c r="J40" i="1"/>
  <c r="J44" i="1"/>
  <c r="J48" i="1"/>
  <c r="J52" i="1"/>
  <c r="J56" i="1"/>
  <c r="J60" i="1"/>
  <c r="J64" i="1"/>
  <c r="J68" i="1"/>
  <c r="J72" i="1"/>
  <c r="J76" i="1"/>
  <c r="J80" i="1"/>
  <c r="J84" i="1"/>
  <c r="J88" i="1"/>
  <c r="L92" i="1"/>
  <c r="J97" i="1"/>
  <c r="I106" i="1"/>
  <c r="L110" i="1"/>
  <c r="J115" i="1"/>
  <c r="I120" i="1"/>
  <c r="I130" i="1"/>
  <c r="L134" i="1"/>
  <c r="J139" i="1"/>
  <c r="I144" i="1"/>
  <c r="L159" i="1"/>
  <c r="L170" i="1"/>
  <c r="L175" i="1"/>
  <c r="L181" i="1"/>
  <c r="L186" i="1"/>
  <c r="I192" i="1"/>
  <c r="L198" i="1"/>
  <c r="I204" i="1"/>
  <c r="L210" i="1"/>
  <c r="J223" i="1"/>
  <c r="L230" i="1"/>
  <c r="I238" i="1"/>
  <c r="I244" i="1"/>
  <c r="I254" i="1"/>
  <c r="J282" i="1"/>
  <c r="J294" i="1"/>
  <c r="I361" i="1"/>
  <c r="J421" i="1"/>
  <c r="L422" i="1"/>
  <c r="J422" i="1"/>
  <c r="I422" i="1"/>
  <c r="M422" i="1"/>
  <c r="I170" i="1"/>
  <c r="M5" i="1"/>
  <c r="M17" i="1"/>
  <c r="M29" i="1"/>
  <c r="M41" i="1"/>
  <c r="M53" i="1"/>
  <c r="M65" i="1"/>
  <c r="M77" i="1"/>
  <c r="M89" i="1"/>
  <c r="I89" i="1"/>
  <c r="M101" i="1"/>
  <c r="I101" i="1"/>
  <c r="M113" i="1"/>
  <c r="I113" i="1"/>
  <c r="M125" i="1"/>
  <c r="I125" i="1"/>
  <c r="M137" i="1"/>
  <c r="I137" i="1"/>
  <c r="M149" i="1"/>
  <c r="J149" i="1"/>
  <c r="I149" i="1"/>
  <c r="M161" i="1"/>
  <c r="J161" i="1"/>
  <c r="I161" i="1"/>
  <c r="M173" i="1"/>
  <c r="J173" i="1"/>
  <c r="I173" i="1"/>
  <c r="M185" i="1"/>
  <c r="J185" i="1"/>
  <c r="I185" i="1"/>
  <c r="M197" i="1"/>
  <c r="L197" i="1"/>
  <c r="J197" i="1"/>
  <c r="I197" i="1"/>
  <c r="M209" i="1"/>
  <c r="L209" i="1"/>
  <c r="J209" i="1"/>
  <c r="I209" i="1"/>
  <c r="M221" i="1"/>
  <c r="L221" i="1"/>
  <c r="J221" i="1"/>
  <c r="I221" i="1"/>
  <c r="M233" i="1"/>
  <c r="L233" i="1"/>
  <c r="J233" i="1"/>
  <c r="I233" i="1"/>
  <c r="M245" i="1"/>
  <c r="L245" i="1"/>
  <c r="J245" i="1"/>
  <c r="I245" i="1"/>
  <c r="M257" i="1"/>
  <c r="L257" i="1"/>
  <c r="J257" i="1"/>
  <c r="I257" i="1"/>
  <c r="M269" i="1"/>
  <c r="L269" i="1"/>
  <c r="J269" i="1"/>
  <c r="I269" i="1"/>
  <c r="M281" i="1"/>
  <c r="L281" i="1"/>
  <c r="J281" i="1"/>
  <c r="I281" i="1"/>
  <c r="M293" i="1"/>
  <c r="L293" i="1"/>
  <c r="J293" i="1"/>
  <c r="I293" i="1"/>
  <c r="M305" i="1"/>
  <c r="L305" i="1"/>
  <c r="J305" i="1"/>
  <c r="I305" i="1"/>
  <c r="M317" i="1"/>
  <c r="L317" i="1"/>
  <c r="J317" i="1"/>
  <c r="I317" i="1"/>
  <c r="M329" i="1"/>
  <c r="L329" i="1"/>
  <c r="J329" i="1"/>
  <c r="I329" i="1"/>
  <c r="M341" i="1"/>
  <c r="L341" i="1"/>
  <c r="J341" i="1"/>
  <c r="I341" i="1"/>
  <c r="M353" i="1"/>
  <c r="L353" i="1"/>
  <c r="J353" i="1"/>
  <c r="I353" i="1"/>
  <c r="M365" i="1"/>
  <c r="L365" i="1"/>
  <c r="I365" i="1"/>
  <c r="M377" i="1"/>
  <c r="L377" i="1"/>
  <c r="J377" i="1"/>
  <c r="I377" i="1"/>
  <c r="M389" i="1"/>
  <c r="L389" i="1"/>
  <c r="J389" i="1"/>
  <c r="I389" i="1"/>
  <c r="M401" i="1"/>
  <c r="J401" i="1"/>
  <c r="I401" i="1"/>
  <c r="L401" i="1"/>
  <c r="M413" i="1"/>
  <c r="L413" i="1"/>
  <c r="J413" i="1"/>
  <c r="I413" i="1"/>
  <c r="M425" i="1"/>
  <c r="L425" i="1"/>
  <c r="J425" i="1"/>
  <c r="I425" i="1"/>
  <c r="M437" i="1"/>
  <c r="L437" i="1"/>
  <c r="J437" i="1"/>
  <c r="I437" i="1"/>
  <c r="M449" i="1"/>
  <c r="L449" i="1"/>
  <c r="J449" i="1"/>
  <c r="I449" i="1"/>
  <c r="M461" i="1"/>
  <c r="L461" i="1"/>
  <c r="J461" i="1"/>
  <c r="I461" i="1"/>
  <c r="M473" i="1"/>
  <c r="L473" i="1"/>
  <c r="J473" i="1"/>
  <c r="I473" i="1"/>
  <c r="M485" i="1"/>
  <c r="L485" i="1"/>
  <c r="J485" i="1"/>
  <c r="I485" i="1"/>
  <c r="M497" i="1"/>
  <c r="L497" i="1"/>
  <c r="J497" i="1"/>
  <c r="I497" i="1"/>
  <c r="L4" i="1"/>
  <c r="L8" i="1"/>
  <c r="L16" i="1"/>
  <c r="L20" i="1"/>
  <c r="L28" i="1"/>
  <c r="L32" i="1"/>
  <c r="L40" i="1"/>
  <c r="L44" i="1"/>
  <c r="L52" i="1"/>
  <c r="L56" i="1"/>
  <c r="L64" i="1"/>
  <c r="L68" i="1"/>
  <c r="L76" i="1"/>
  <c r="L80" i="1"/>
  <c r="L88" i="1"/>
  <c r="J93" i="1"/>
  <c r="L97" i="1"/>
  <c r="I102" i="1"/>
  <c r="J106" i="1"/>
  <c r="I111" i="1"/>
  <c r="L115" i="1"/>
  <c r="L125" i="1"/>
  <c r="J130" i="1"/>
  <c r="I135" i="1"/>
  <c r="L139" i="1"/>
  <c r="I150" i="1"/>
  <c r="I155" i="1"/>
  <c r="I160" i="1"/>
  <c r="I166" i="1"/>
  <c r="I171" i="1"/>
  <c r="I176" i="1"/>
  <c r="I182" i="1"/>
  <c r="I187" i="1"/>
  <c r="I199" i="1"/>
  <c r="I211" i="1"/>
  <c r="I218" i="1"/>
  <c r="I231" i="1"/>
  <c r="J238" i="1"/>
  <c r="I246" i="1"/>
  <c r="J254" i="1"/>
  <c r="I274" i="1"/>
  <c r="L282" i="1"/>
  <c r="L294" i="1"/>
  <c r="J365" i="1"/>
  <c r="M314" i="1"/>
  <c r="L314" i="1"/>
  <c r="L482" i="1"/>
  <c r="J482" i="1"/>
  <c r="I482" i="1"/>
  <c r="M482" i="1"/>
  <c r="M306" i="1"/>
  <c r="L306" i="1"/>
  <c r="M318" i="1"/>
  <c r="L318" i="1"/>
  <c r="L330" i="1"/>
  <c r="M330" i="1"/>
  <c r="I330" i="1"/>
  <c r="L342" i="1"/>
  <c r="M342" i="1"/>
  <c r="J342" i="1"/>
  <c r="I342" i="1"/>
  <c r="L354" i="1"/>
  <c r="M354" i="1"/>
  <c r="J354" i="1"/>
  <c r="I354" i="1"/>
  <c r="L366" i="1"/>
  <c r="M366" i="1"/>
  <c r="J366" i="1"/>
  <c r="I366" i="1"/>
  <c r="L378" i="1"/>
  <c r="M378" i="1"/>
  <c r="I378" i="1"/>
  <c r="L390" i="1"/>
  <c r="M390" i="1"/>
  <c r="J390" i="1"/>
  <c r="I390" i="1"/>
  <c r="L402" i="1"/>
  <c r="M402" i="1"/>
  <c r="J402" i="1"/>
  <c r="L414" i="1"/>
  <c r="M414" i="1"/>
  <c r="J414" i="1"/>
  <c r="I414" i="1"/>
  <c r="L426" i="1"/>
  <c r="M426" i="1"/>
  <c r="J426" i="1"/>
  <c r="I426" i="1"/>
  <c r="L438" i="1"/>
  <c r="M438" i="1"/>
  <c r="J438" i="1"/>
  <c r="I438" i="1"/>
  <c r="L450" i="1"/>
  <c r="M450" i="1"/>
  <c r="J450" i="1"/>
  <c r="I450" i="1"/>
  <c r="L462" i="1"/>
  <c r="M462" i="1"/>
  <c r="J462" i="1"/>
  <c r="I462" i="1"/>
  <c r="L474" i="1"/>
  <c r="M474" i="1"/>
  <c r="J474" i="1"/>
  <c r="I474" i="1"/>
  <c r="L486" i="1"/>
  <c r="M486" i="1"/>
  <c r="J486" i="1"/>
  <c r="I486" i="1"/>
  <c r="L498" i="1"/>
  <c r="M498" i="1"/>
  <c r="J498" i="1"/>
  <c r="I498" i="1"/>
  <c r="I5" i="1"/>
  <c r="I9" i="1"/>
  <c r="I13" i="1"/>
  <c r="I17" i="1"/>
  <c r="I21" i="1"/>
  <c r="I25" i="1"/>
  <c r="I29" i="1"/>
  <c r="I33" i="1"/>
  <c r="I37" i="1"/>
  <c r="I41" i="1"/>
  <c r="I45" i="1"/>
  <c r="I49" i="1"/>
  <c r="I53" i="1"/>
  <c r="I57" i="1"/>
  <c r="I61" i="1"/>
  <c r="I65" i="1"/>
  <c r="I69" i="1"/>
  <c r="I73" i="1"/>
  <c r="I77" i="1"/>
  <c r="I81" i="1"/>
  <c r="I85" i="1"/>
  <c r="J89" i="1"/>
  <c r="I98" i="1"/>
  <c r="J102" i="1"/>
  <c r="J111" i="1"/>
  <c r="I116" i="1"/>
  <c r="J121" i="1"/>
  <c r="I126" i="1"/>
  <c r="J135" i="1"/>
  <c r="I140" i="1"/>
  <c r="J145" i="1"/>
  <c r="J150" i="1"/>
  <c r="J155" i="1"/>
  <c r="J160" i="1"/>
  <c r="J166" i="1"/>
  <c r="J171" i="1"/>
  <c r="J182" i="1"/>
  <c r="J187" i="1"/>
  <c r="I194" i="1"/>
  <c r="J199" i="1"/>
  <c r="I206" i="1"/>
  <c r="J218" i="1"/>
  <c r="J231" i="1"/>
  <c r="J246" i="1"/>
  <c r="L254" i="1"/>
  <c r="J274" i="1"/>
  <c r="I298" i="1"/>
  <c r="J318" i="1"/>
  <c r="L362" i="1"/>
  <c r="M362" i="1"/>
  <c r="J362" i="1"/>
  <c r="I362" i="1"/>
  <c r="L458" i="1"/>
  <c r="J458" i="1"/>
  <c r="I458" i="1"/>
  <c r="M458" i="1"/>
  <c r="M211" i="1"/>
  <c r="M223" i="1"/>
  <c r="M235" i="1"/>
  <c r="M247" i="1"/>
  <c r="L247" i="1"/>
  <c r="M259" i="1"/>
  <c r="L259" i="1"/>
  <c r="J259" i="1"/>
  <c r="M271" i="1"/>
  <c r="L271" i="1"/>
  <c r="J271" i="1"/>
  <c r="M283" i="1"/>
  <c r="L283" i="1"/>
  <c r="J283" i="1"/>
  <c r="M295" i="1"/>
  <c r="L295" i="1"/>
  <c r="J295" i="1"/>
  <c r="I295" i="1"/>
  <c r="M307" i="1"/>
  <c r="L307" i="1"/>
  <c r="J307" i="1"/>
  <c r="I307" i="1"/>
  <c r="M319" i="1"/>
  <c r="L319" i="1"/>
  <c r="J319" i="1"/>
  <c r="I319" i="1"/>
  <c r="M331" i="1"/>
  <c r="L331" i="1"/>
  <c r="J331" i="1"/>
  <c r="I331" i="1"/>
  <c r="M343" i="1"/>
  <c r="I343" i="1"/>
  <c r="J343" i="1"/>
  <c r="M355" i="1"/>
  <c r="L355" i="1"/>
  <c r="J355" i="1"/>
  <c r="I355" i="1"/>
  <c r="M367" i="1"/>
  <c r="L367" i="1"/>
  <c r="J367" i="1"/>
  <c r="I367" i="1"/>
  <c r="M379" i="1"/>
  <c r="L379" i="1"/>
  <c r="J379" i="1"/>
  <c r="I379" i="1"/>
  <c r="J391" i="1"/>
  <c r="M391" i="1"/>
  <c r="L391" i="1"/>
  <c r="I391" i="1"/>
  <c r="J403" i="1"/>
  <c r="M403" i="1"/>
  <c r="L403" i="1"/>
  <c r="I403" i="1"/>
  <c r="L415" i="1"/>
  <c r="J415" i="1"/>
  <c r="I415" i="1"/>
  <c r="M415" i="1"/>
  <c r="L427" i="1"/>
  <c r="J427" i="1"/>
  <c r="I427" i="1"/>
  <c r="M427" i="1"/>
  <c r="L439" i="1"/>
  <c r="J439" i="1"/>
  <c r="I439" i="1"/>
  <c r="M439" i="1"/>
  <c r="L451" i="1"/>
  <c r="J451" i="1"/>
  <c r="I451" i="1"/>
  <c r="M451" i="1"/>
  <c r="L463" i="1"/>
  <c r="J463" i="1"/>
  <c r="I463" i="1"/>
  <c r="M463" i="1"/>
  <c r="L475" i="1"/>
  <c r="J475" i="1"/>
  <c r="I475" i="1"/>
  <c r="M475" i="1"/>
  <c r="L487" i="1"/>
  <c r="J487" i="1"/>
  <c r="I487" i="1"/>
  <c r="M487" i="1"/>
  <c r="L499" i="1"/>
  <c r="J499" i="1"/>
  <c r="I499" i="1"/>
  <c r="M499" i="1"/>
  <c r="J5" i="1"/>
  <c r="J9" i="1"/>
  <c r="J13" i="1"/>
  <c r="J17" i="1"/>
  <c r="J21" i="1"/>
  <c r="J25" i="1"/>
  <c r="J29" i="1"/>
  <c r="J33" i="1"/>
  <c r="J37" i="1"/>
  <c r="J41" i="1"/>
  <c r="J45" i="1"/>
  <c r="J49" i="1"/>
  <c r="J53" i="1"/>
  <c r="J57" i="1"/>
  <c r="J61" i="1"/>
  <c r="J65" i="1"/>
  <c r="J69" i="1"/>
  <c r="J73" i="1"/>
  <c r="J77" i="1"/>
  <c r="J81" i="1"/>
  <c r="J85" i="1"/>
  <c r="L89" i="1"/>
  <c r="I94" i="1"/>
  <c r="J98" i="1"/>
  <c r="L102" i="1"/>
  <c r="I107" i="1"/>
  <c r="L111" i="1"/>
  <c r="L121" i="1"/>
  <c r="J126" i="1"/>
  <c r="I131" i="1"/>
  <c r="L135" i="1"/>
  <c r="L145" i="1"/>
  <c r="L150" i="1"/>
  <c r="L155" i="1"/>
  <c r="L161" i="1"/>
  <c r="L171" i="1"/>
  <c r="L182" i="1"/>
  <c r="L187" i="1"/>
  <c r="J194" i="1"/>
  <c r="L199" i="1"/>
  <c r="J206" i="1"/>
  <c r="L211" i="1"/>
  <c r="L218" i="1"/>
  <c r="I226" i="1"/>
  <c r="L231" i="1"/>
  <c r="I239" i="1"/>
  <c r="L246" i="1"/>
  <c r="I255" i="1"/>
  <c r="I266" i="1"/>
  <c r="J298" i="1"/>
  <c r="M121" i="1"/>
  <c r="M302" i="1"/>
  <c r="L302" i="1"/>
  <c r="L434" i="1"/>
  <c r="J434" i="1"/>
  <c r="I434" i="1"/>
  <c r="M434" i="1"/>
  <c r="M116" i="1"/>
  <c r="L116" i="1"/>
  <c r="M128" i="1"/>
  <c r="L128" i="1"/>
  <c r="M140" i="1"/>
  <c r="L140" i="1"/>
  <c r="M152" i="1"/>
  <c r="L152" i="1"/>
  <c r="M164" i="1"/>
  <c r="L164" i="1"/>
  <c r="M176" i="1"/>
  <c r="L176" i="1"/>
  <c r="M188" i="1"/>
  <c r="L188" i="1"/>
  <c r="M200" i="1"/>
  <c r="L200" i="1"/>
  <c r="M212" i="1"/>
  <c r="L212" i="1"/>
  <c r="M224" i="1"/>
  <c r="L224" i="1"/>
  <c r="J224" i="1"/>
  <c r="M236" i="1"/>
  <c r="L236" i="1"/>
  <c r="J236" i="1"/>
  <c r="M248" i="1"/>
  <c r="L248" i="1"/>
  <c r="J248" i="1"/>
  <c r="M260" i="1"/>
  <c r="L260" i="1"/>
  <c r="J260" i="1"/>
  <c r="M272" i="1"/>
  <c r="L272" i="1"/>
  <c r="J272" i="1"/>
  <c r="M284" i="1"/>
  <c r="L284" i="1"/>
  <c r="J284" i="1"/>
  <c r="M296" i="1"/>
  <c r="L296" i="1"/>
  <c r="J296" i="1"/>
  <c r="I296" i="1"/>
  <c r="M308" i="1"/>
  <c r="L308" i="1"/>
  <c r="J308" i="1"/>
  <c r="I308" i="1"/>
  <c r="M320" i="1"/>
  <c r="L320" i="1"/>
  <c r="J320" i="1"/>
  <c r="I320" i="1"/>
  <c r="M332" i="1"/>
  <c r="L332" i="1"/>
  <c r="J332" i="1"/>
  <c r="I332" i="1"/>
  <c r="M344" i="1"/>
  <c r="L344" i="1"/>
  <c r="J344" i="1"/>
  <c r="I344" i="1"/>
  <c r="M356" i="1"/>
  <c r="I356" i="1"/>
  <c r="J356" i="1"/>
  <c r="M368" i="1"/>
  <c r="L368" i="1"/>
  <c r="J368" i="1"/>
  <c r="I368" i="1"/>
  <c r="M380" i="1"/>
  <c r="L380" i="1"/>
  <c r="J380" i="1"/>
  <c r="I380" i="1"/>
  <c r="M392" i="1"/>
  <c r="I392" i="1"/>
  <c r="J392" i="1"/>
  <c r="M404" i="1"/>
  <c r="L404" i="1"/>
  <c r="J404" i="1"/>
  <c r="I404" i="1"/>
  <c r="I416" i="1"/>
  <c r="M416" i="1"/>
  <c r="L416" i="1"/>
  <c r="J416" i="1"/>
  <c r="I428" i="1"/>
  <c r="M428" i="1"/>
  <c r="L428" i="1"/>
  <c r="J428" i="1"/>
  <c r="I440" i="1"/>
  <c r="M440" i="1"/>
  <c r="J440" i="1"/>
  <c r="L440" i="1"/>
  <c r="I452" i="1"/>
  <c r="M452" i="1"/>
  <c r="J452" i="1"/>
  <c r="L452" i="1"/>
  <c r="I464" i="1"/>
  <c r="M464" i="1"/>
  <c r="J464" i="1"/>
  <c r="L464" i="1"/>
  <c r="I476" i="1"/>
  <c r="M476" i="1"/>
  <c r="J476" i="1"/>
  <c r="L476" i="1"/>
  <c r="I488" i="1"/>
  <c r="M488" i="1"/>
  <c r="J488" i="1"/>
  <c r="L488" i="1"/>
  <c r="I500" i="1"/>
  <c r="M500" i="1"/>
  <c r="J500" i="1"/>
  <c r="L500" i="1"/>
  <c r="L5" i="1"/>
  <c r="L13" i="1"/>
  <c r="L17" i="1"/>
  <c r="L25" i="1"/>
  <c r="L29" i="1"/>
  <c r="L37" i="1"/>
  <c r="L41" i="1"/>
  <c r="L49" i="1"/>
  <c r="L53" i="1"/>
  <c r="L61" i="1"/>
  <c r="L65" i="1"/>
  <c r="L73" i="1"/>
  <c r="L77" i="1"/>
  <c r="L85" i="1"/>
  <c r="I90" i="1"/>
  <c r="J94" i="1"/>
  <c r="L98" i="1"/>
  <c r="I103" i="1"/>
  <c r="J107" i="1"/>
  <c r="I112" i="1"/>
  <c r="I122" i="1"/>
  <c r="L126" i="1"/>
  <c r="J131" i="1"/>
  <c r="I136" i="1"/>
  <c r="I146" i="1"/>
  <c r="I151" i="1"/>
  <c r="I156" i="1"/>
  <c r="I162" i="1"/>
  <c r="I167" i="1"/>
  <c r="I172" i="1"/>
  <c r="I178" i="1"/>
  <c r="I183" i="1"/>
  <c r="I188" i="1"/>
  <c r="L194" i="1"/>
  <c r="I200" i="1"/>
  <c r="L206" i="1"/>
  <c r="I212" i="1"/>
  <c r="I219" i="1"/>
  <c r="J226" i="1"/>
  <c r="I232" i="1"/>
  <c r="J239" i="1"/>
  <c r="I247" i="1"/>
  <c r="I256" i="1"/>
  <c r="J266" i="1"/>
  <c r="I286" i="1"/>
  <c r="J378" i="1"/>
  <c r="M265" i="1"/>
  <c r="M326" i="1"/>
  <c r="L326" i="1"/>
  <c r="I326" i="1"/>
  <c r="L446" i="1"/>
  <c r="J446" i="1"/>
  <c r="I446" i="1"/>
  <c r="M446" i="1"/>
  <c r="M9" i="1"/>
  <c r="M21" i="1"/>
  <c r="M33" i="1"/>
  <c r="M45" i="1"/>
  <c r="M57" i="1"/>
  <c r="M69" i="1"/>
  <c r="M81" i="1"/>
  <c r="M93" i="1"/>
  <c r="I93" i="1"/>
  <c r="M105" i="1"/>
  <c r="I105" i="1"/>
  <c r="M117" i="1"/>
  <c r="I117" i="1"/>
  <c r="M129" i="1"/>
  <c r="I129" i="1"/>
  <c r="M141" i="1"/>
  <c r="I141" i="1"/>
  <c r="M153" i="1"/>
  <c r="J153" i="1"/>
  <c r="I153" i="1"/>
  <c r="M165" i="1"/>
  <c r="J165" i="1"/>
  <c r="I165" i="1"/>
  <c r="M177" i="1"/>
  <c r="J177" i="1"/>
  <c r="I177" i="1"/>
  <c r="M189" i="1"/>
  <c r="L189" i="1"/>
  <c r="J189" i="1"/>
  <c r="I189" i="1"/>
  <c r="M201" i="1"/>
  <c r="L201" i="1"/>
  <c r="J201" i="1"/>
  <c r="I201" i="1"/>
  <c r="M213" i="1"/>
  <c r="L213" i="1"/>
  <c r="J213" i="1"/>
  <c r="I213" i="1"/>
  <c r="M225" i="1"/>
  <c r="L225" i="1"/>
  <c r="J225" i="1"/>
  <c r="I225" i="1"/>
  <c r="M237" i="1"/>
  <c r="L237" i="1"/>
  <c r="J237" i="1"/>
  <c r="I237" i="1"/>
  <c r="M249" i="1"/>
  <c r="L249" i="1"/>
  <c r="J249" i="1"/>
  <c r="I249" i="1"/>
  <c r="M261" i="1"/>
  <c r="L261" i="1"/>
  <c r="J261" i="1"/>
  <c r="I261" i="1"/>
  <c r="M273" i="1"/>
  <c r="L273" i="1"/>
  <c r="J273" i="1"/>
  <c r="I273" i="1"/>
  <c r="M285" i="1"/>
  <c r="L285" i="1"/>
  <c r="J285" i="1"/>
  <c r="I285" i="1"/>
  <c r="M297" i="1"/>
  <c r="L297" i="1"/>
  <c r="J297" i="1"/>
  <c r="I297" i="1"/>
  <c r="M309" i="1"/>
  <c r="L309" i="1"/>
  <c r="J309" i="1"/>
  <c r="I309" i="1"/>
  <c r="M321" i="1"/>
  <c r="L321" i="1"/>
  <c r="J321" i="1"/>
  <c r="I321" i="1"/>
  <c r="M333" i="1"/>
  <c r="L333" i="1"/>
  <c r="J333" i="1"/>
  <c r="I333" i="1"/>
  <c r="M345" i="1"/>
  <c r="L345" i="1"/>
  <c r="J345" i="1"/>
  <c r="I345" i="1"/>
  <c r="M357" i="1"/>
  <c r="L357" i="1"/>
  <c r="J357" i="1"/>
  <c r="I357" i="1"/>
  <c r="M369" i="1"/>
  <c r="I369" i="1"/>
  <c r="J369" i="1"/>
  <c r="M381" i="1"/>
  <c r="L381" i="1"/>
  <c r="J381" i="1"/>
  <c r="I381" i="1"/>
  <c r="M393" i="1"/>
  <c r="L393" i="1"/>
  <c r="J393" i="1"/>
  <c r="I393" i="1"/>
  <c r="M405" i="1"/>
  <c r="L405" i="1"/>
  <c r="J405" i="1"/>
  <c r="I405" i="1"/>
  <c r="M417" i="1"/>
  <c r="L417" i="1"/>
  <c r="J417" i="1"/>
  <c r="I417" i="1"/>
  <c r="M429" i="1"/>
  <c r="L429" i="1"/>
  <c r="J429" i="1"/>
  <c r="I429" i="1"/>
  <c r="M441" i="1"/>
  <c r="L441" i="1"/>
  <c r="J441" i="1"/>
  <c r="I441" i="1"/>
  <c r="M453" i="1"/>
  <c r="L453" i="1"/>
  <c r="J453" i="1"/>
  <c r="I453" i="1"/>
  <c r="M465" i="1"/>
  <c r="L465" i="1"/>
  <c r="J465" i="1"/>
  <c r="I465" i="1"/>
  <c r="M477" i="1"/>
  <c r="L477" i="1"/>
  <c r="J477" i="1"/>
  <c r="I477" i="1"/>
  <c r="M489" i="1"/>
  <c r="L489" i="1"/>
  <c r="J489" i="1"/>
  <c r="I489" i="1"/>
  <c r="J2" i="1"/>
  <c r="I6" i="1"/>
  <c r="I14" i="1"/>
  <c r="I18" i="1"/>
  <c r="I26" i="1"/>
  <c r="I30" i="1"/>
  <c r="I38" i="1"/>
  <c r="I42" i="1"/>
  <c r="I50" i="1"/>
  <c r="I54" i="1"/>
  <c r="I62" i="1"/>
  <c r="I66" i="1"/>
  <c r="I74" i="1"/>
  <c r="I78" i="1"/>
  <c r="I86" i="1"/>
  <c r="J90" i="1"/>
  <c r="I99" i="1"/>
  <c r="J103" i="1"/>
  <c r="L107" i="1"/>
  <c r="J112" i="1"/>
  <c r="L117" i="1"/>
  <c r="J122" i="1"/>
  <c r="I127" i="1"/>
  <c r="L131" i="1"/>
  <c r="J136" i="1"/>
  <c r="L141" i="1"/>
  <c r="J146" i="1"/>
  <c r="J151" i="1"/>
  <c r="J162" i="1"/>
  <c r="J167" i="1"/>
  <c r="J172" i="1"/>
  <c r="J183" i="1"/>
  <c r="J188" i="1"/>
  <c r="I195" i="1"/>
  <c r="J200" i="1"/>
  <c r="I207" i="1"/>
  <c r="J212" i="1"/>
  <c r="J219" i="1"/>
  <c r="I234" i="1"/>
  <c r="J247" i="1"/>
  <c r="I258" i="1"/>
  <c r="L266" i="1"/>
  <c r="I302" i="1"/>
  <c r="J330" i="1"/>
  <c r="M409" i="1"/>
  <c r="L410" i="1"/>
  <c r="I410" i="1"/>
  <c r="M410" i="1"/>
  <c r="J410" i="1"/>
  <c r="I134" i="1"/>
  <c r="I230" i="1"/>
  <c r="M10" i="1"/>
  <c r="M22" i="1"/>
  <c r="M34" i="1"/>
  <c r="M46" i="1"/>
  <c r="M58" i="1"/>
  <c r="M70" i="1"/>
  <c r="M82" i="1"/>
  <c r="M94" i="1"/>
  <c r="M106" i="1"/>
  <c r="M118" i="1"/>
  <c r="M130" i="1"/>
  <c r="M142" i="1"/>
  <c r="M154" i="1"/>
  <c r="M166" i="1"/>
  <c r="M178" i="1"/>
  <c r="M190" i="1"/>
  <c r="M202" i="1"/>
  <c r="M214" i="1"/>
  <c r="M226" i="1"/>
  <c r="M238" i="1"/>
  <c r="M250" i="1"/>
  <c r="M262" i="1"/>
  <c r="M274" i="1"/>
  <c r="M286" i="1"/>
  <c r="M298" i="1"/>
  <c r="M310" i="1"/>
  <c r="L310" i="1"/>
  <c r="M322" i="1"/>
  <c r="L322" i="1"/>
  <c r="I322" i="1"/>
  <c r="M334" i="1"/>
  <c r="L334" i="1"/>
  <c r="I334" i="1"/>
  <c r="J334" i="1"/>
  <c r="M346" i="1"/>
  <c r="L346" i="1"/>
  <c r="J346" i="1"/>
  <c r="I346" i="1"/>
  <c r="M358" i="1"/>
  <c r="L358" i="1"/>
  <c r="J358" i="1"/>
  <c r="I358" i="1"/>
  <c r="M370" i="1"/>
  <c r="L370" i="1"/>
  <c r="J370" i="1"/>
  <c r="I370" i="1"/>
  <c r="M382" i="1"/>
  <c r="L382" i="1"/>
  <c r="I382" i="1"/>
  <c r="J382" i="1"/>
  <c r="M394" i="1"/>
  <c r="L394" i="1"/>
  <c r="J394" i="1"/>
  <c r="I394" i="1"/>
  <c r="M406" i="1"/>
  <c r="L406" i="1"/>
  <c r="I406" i="1"/>
  <c r="J406" i="1"/>
  <c r="M418" i="1"/>
  <c r="L418" i="1"/>
  <c r="J418" i="1"/>
  <c r="I418" i="1"/>
  <c r="M430" i="1"/>
  <c r="L430" i="1"/>
  <c r="J430" i="1"/>
  <c r="I430" i="1"/>
  <c r="M442" i="1"/>
  <c r="L442" i="1"/>
  <c r="J442" i="1"/>
  <c r="I442" i="1"/>
  <c r="M454" i="1"/>
  <c r="L454" i="1"/>
  <c r="J454" i="1"/>
  <c r="I454" i="1"/>
  <c r="M466" i="1"/>
  <c r="L466" i="1"/>
  <c r="J466" i="1"/>
  <c r="I466" i="1"/>
  <c r="M478" i="1"/>
  <c r="L478" i="1"/>
  <c r="J478" i="1"/>
  <c r="I478" i="1"/>
  <c r="M490" i="1"/>
  <c r="L490" i="1"/>
  <c r="J490" i="1"/>
  <c r="I490" i="1"/>
  <c r="L2" i="1"/>
  <c r="J6" i="1"/>
  <c r="J10" i="1"/>
  <c r="J14" i="1"/>
  <c r="J18" i="1"/>
  <c r="J22" i="1"/>
  <c r="J26" i="1"/>
  <c r="J30" i="1"/>
  <c r="J34" i="1"/>
  <c r="J38" i="1"/>
  <c r="J42" i="1"/>
  <c r="J46" i="1"/>
  <c r="J50" i="1"/>
  <c r="J54" i="1"/>
  <c r="J58" i="1"/>
  <c r="J62" i="1"/>
  <c r="J66" i="1"/>
  <c r="J70" i="1"/>
  <c r="J74" i="1"/>
  <c r="J78" i="1"/>
  <c r="J82" i="1"/>
  <c r="J86" i="1"/>
  <c r="L90" i="1"/>
  <c r="I95" i="1"/>
  <c r="J99" i="1"/>
  <c r="L103" i="1"/>
  <c r="I108" i="1"/>
  <c r="J113" i="1"/>
  <c r="I118" i="1"/>
  <c r="L122" i="1"/>
  <c r="J127" i="1"/>
  <c r="I132" i="1"/>
  <c r="J137" i="1"/>
  <c r="I142" i="1"/>
  <c r="L146" i="1"/>
  <c r="L151" i="1"/>
  <c r="L157" i="1"/>
  <c r="L162" i="1"/>
  <c r="L167" i="1"/>
  <c r="L173" i="1"/>
  <c r="L178" i="1"/>
  <c r="L183" i="1"/>
  <c r="I190" i="1"/>
  <c r="J195" i="1"/>
  <c r="I202" i="1"/>
  <c r="J207" i="1"/>
  <c r="I214" i="1"/>
  <c r="L219" i="1"/>
  <c r="J234" i="1"/>
  <c r="I248" i="1"/>
  <c r="J258" i="1"/>
  <c r="I267" i="1"/>
  <c r="I278" i="1"/>
  <c r="L286" i="1"/>
  <c r="J302" i="1"/>
  <c r="I388" i="1"/>
  <c r="L374" i="1"/>
  <c r="M374" i="1"/>
  <c r="J374" i="1"/>
  <c r="M179" i="1"/>
  <c r="M191" i="1"/>
  <c r="M203" i="1"/>
  <c r="M215" i="1"/>
  <c r="M227" i="1"/>
  <c r="M239" i="1"/>
  <c r="M251" i="1"/>
  <c r="L251" i="1"/>
  <c r="J251" i="1"/>
  <c r="M263" i="1"/>
  <c r="L263" i="1"/>
  <c r="J263" i="1"/>
  <c r="M275" i="1"/>
  <c r="L275" i="1"/>
  <c r="J275" i="1"/>
  <c r="M287" i="1"/>
  <c r="L287" i="1"/>
  <c r="J287" i="1"/>
  <c r="M299" i="1"/>
  <c r="L299" i="1"/>
  <c r="J299" i="1"/>
  <c r="I299" i="1"/>
  <c r="M311" i="1"/>
  <c r="L311" i="1"/>
  <c r="J311" i="1"/>
  <c r="I311" i="1"/>
  <c r="M323" i="1"/>
  <c r="L323" i="1"/>
  <c r="J323" i="1"/>
  <c r="I323" i="1"/>
  <c r="M335" i="1"/>
  <c r="L335" i="1"/>
  <c r="J335" i="1"/>
  <c r="M347" i="1"/>
  <c r="J347" i="1"/>
  <c r="I347" i="1"/>
  <c r="L347" i="1"/>
  <c r="M359" i="1"/>
  <c r="L359" i="1"/>
  <c r="J359" i="1"/>
  <c r="I359" i="1"/>
  <c r="M371" i="1"/>
  <c r="L371" i="1"/>
  <c r="J371" i="1"/>
  <c r="I371" i="1"/>
  <c r="M383" i="1"/>
  <c r="J383" i="1"/>
  <c r="L383" i="1"/>
  <c r="M395" i="1"/>
  <c r="J395" i="1"/>
  <c r="L395" i="1"/>
  <c r="I395" i="1"/>
  <c r="M407" i="1"/>
  <c r="J407" i="1"/>
  <c r="L407" i="1"/>
  <c r="M419" i="1"/>
  <c r="L419" i="1"/>
  <c r="J419" i="1"/>
  <c r="I419" i="1"/>
  <c r="M431" i="1"/>
  <c r="L431" i="1"/>
  <c r="J431" i="1"/>
  <c r="I431" i="1"/>
  <c r="M443" i="1"/>
  <c r="L443" i="1"/>
  <c r="J443" i="1"/>
  <c r="I443" i="1"/>
  <c r="M455" i="1"/>
  <c r="L455" i="1"/>
  <c r="J455" i="1"/>
  <c r="I455" i="1"/>
  <c r="M467" i="1"/>
  <c r="L467" i="1"/>
  <c r="J467" i="1"/>
  <c r="I467" i="1"/>
  <c r="M479" i="1"/>
  <c r="L479" i="1"/>
  <c r="J479" i="1"/>
  <c r="I479" i="1"/>
  <c r="M491" i="1"/>
  <c r="L491" i="1"/>
  <c r="J491" i="1"/>
  <c r="I491" i="1"/>
  <c r="I2" i="1"/>
  <c r="L6" i="1"/>
  <c r="L10" i="1"/>
  <c r="L14" i="1"/>
  <c r="L18" i="1"/>
  <c r="L22" i="1"/>
  <c r="L26" i="1"/>
  <c r="L30" i="1"/>
  <c r="L34" i="1"/>
  <c r="L38" i="1"/>
  <c r="L42" i="1"/>
  <c r="L46" i="1"/>
  <c r="L50" i="1"/>
  <c r="L54" i="1"/>
  <c r="L58" i="1"/>
  <c r="L62" i="1"/>
  <c r="L66" i="1"/>
  <c r="L70" i="1"/>
  <c r="L74" i="1"/>
  <c r="L78" i="1"/>
  <c r="L82" i="1"/>
  <c r="L86" i="1"/>
  <c r="I91" i="1"/>
  <c r="J95" i="1"/>
  <c r="L99" i="1"/>
  <c r="I104" i="1"/>
  <c r="L113" i="1"/>
  <c r="J118" i="1"/>
  <c r="I123" i="1"/>
  <c r="L127" i="1"/>
  <c r="L137" i="1"/>
  <c r="J142" i="1"/>
  <c r="I147" i="1"/>
  <c r="I152" i="1"/>
  <c r="I158" i="1"/>
  <c r="I163" i="1"/>
  <c r="I174" i="1"/>
  <c r="I179" i="1"/>
  <c r="I184" i="1"/>
  <c r="J190" i="1"/>
  <c r="L195" i="1"/>
  <c r="J202" i="1"/>
  <c r="L207" i="1"/>
  <c r="J214" i="1"/>
  <c r="I220" i="1"/>
  <c r="J227" i="1"/>
  <c r="L234" i="1"/>
  <c r="I242" i="1"/>
  <c r="I250" i="1"/>
  <c r="L258" i="1"/>
  <c r="I268" i="1"/>
  <c r="J278" i="1"/>
  <c r="I287" i="1"/>
  <c r="I306" i="1"/>
  <c r="J339" i="1"/>
  <c r="L392" i="1"/>
  <c r="L338" i="1"/>
  <c r="M338" i="1"/>
  <c r="J338" i="1"/>
  <c r="I338" i="1"/>
  <c r="L470" i="1"/>
  <c r="J470" i="1"/>
  <c r="I470" i="1"/>
  <c r="M470" i="1"/>
  <c r="M12" i="1"/>
  <c r="M24" i="1"/>
  <c r="M36" i="1"/>
  <c r="M48" i="1"/>
  <c r="M60" i="1"/>
  <c r="M72" i="1"/>
  <c r="M84" i="1"/>
  <c r="M96" i="1"/>
  <c r="M108" i="1"/>
  <c r="L108" i="1"/>
  <c r="M120" i="1"/>
  <c r="L120" i="1"/>
  <c r="M132" i="1"/>
  <c r="L132" i="1"/>
  <c r="M144" i="1"/>
  <c r="L144" i="1"/>
  <c r="M156" i="1"/>
  <c r="L156" i="1"/>
  <c r="M168" i="1"/>
  <c r="L168" i="1"/>
  <c r="M180" i="1"/>
  <c r="L180" i="1"/>
  <c r="M192" i="1"/>
  <c r="L192" i="1"/>
  <c r="M204" i="1"/>
  <c r="L204" i="1"/>
  <c r="M216" i="1"/>
  <c r="L216" i="1"/>
  <c r="J216" i="1"/>
  <c r="M228" i="1"/>
  <c r="L228" i="1"/>
  <c r="J228" i="1"/>
  <c r="M240" i="1"/>
  <c r="L240" i="1"/>
  <c r="J240" i="1"/>
  <c r="M252" i="1"/>
  <c r="L252" i="1"/>
  <c r="J252" i="1"/>
  <c r="M264" i="1"/>
  <c r="L264" i="1"/>
  <c r="J264" i="1"/>
  <c r="M276" i="1"/>
  <c r="L276" i="1"/>
  <c r="J276" i="1"/>
  <c r="M288" i="1"/>
  <c r="L288" i="1"/>
  <c r="J288" i="1"/>
  <c r="I288" i="1"/>
  <c r="M300" i="1"/>
  <c r="L300" i="1"/>
  <c r="J300" i="1"/>
  <c r="I300" i="1"/>
  <c r="M312" i="1"/>
  <c r="L312" i="1"/>
  <c r="J312" i="1"/>
  <c r="I312" i="1"/>
  <c r="M324" i="1"/>
  <c r="L324" i="1"/>
  <c r="J324" i="1"/>
  <c r="I324" i="1"/>
  <c r="M336" i="1"/>
  <c r="L336" i="1"/>
  <c r="J336" i="1"/>
  <c r="I336" i="1"/>
  <c r="M348" i="1"/>
  <c r="L348" i="1"/>
  <c r="J348" i="1"/>
  <c r="M360" i="1"/>
  <c r="J360" i="1"/>
  <c r="I360" i="1"/>
  <c r="L360" i="1"/>
  <c r="M372" i="1"/>
  <c r="L372" i="1"/>
  <c r="J372" i="1"/>
  <c r="I372" i="1"/>
  <c r="M384" i="1"/>
  <c r="L384" i="1"/>
  <c r="J384" i="1"/>
  <c r="I384" i="1"/>
  <c r="M396" i="1"/>
  <c r="L396" i="1"/>
  <c r="J396" i="1"/>
  <c r="I396" i="1"/>
  <c r="M408" i="1"/>
  <c r="L408" i="1"/>
  <c r="J408" i="1"/>
  <c r="I408" i="1"/>
  <c r="I420" i="1"/>
  <c r="M420" i="1"/>
  <c r="L420" i="1"/>
  <c r="J420" i="1"/>
  <c r="I432" i="1"/>
  <c r="M432" i="1"/>
  <c r="L432" i="1"/>
  <c r="J432" i="1"/>
  <c r="I444" i="1"/>
  <c r="M444" i="1"/>
  <c r="J444" i="1"/>
  <c r="I456" i="1"/>
  <c r="M456" i="1"/>
  <c r="J456" i="1"/>
  <c r="L456" i="1"/>
  <c r="I468" i="1"/>
  <c r="M468" i="1"/>
  <c r="J468" i="1"/>
  <c r="L468" i="1"/>
  <c r="I480" i="1"/>
  <c r="M480" i="1"/>
  <c r="J480" i="1"/>
  <c r="L480" i="1"/>
  <c r="I492" i="1"/>
  <c r="M492" i="1"/>
  <c r="J492" i="1"/>
  <c r="I3" i="1"/>
  <c r="I7" i="1"/>
  <c r="I11" i="1"/>
  <c r="I15" i="1"/>
  <c r="I19" i="1"/>
  <c r="I23" i="1"/>
  <c r="I27" i="1"/>
  <c r="I31" i="1"/>
  <c r="I35" i="1"/>
  <c r="I39" i="1"/>
  <c r="I43" i="1"/>
  <c r="I47" i="1"/>
  <c r="I51" i="1"/>
  <c r="I55" i="1"/>
  <c r="I59" i="1"/>
  <c r="I63" i="1"/>
  <c r="I67" i="1"/>
  <c r="I71" i="1"/>
  <c r="I75" i="1"/>
  <c r="I79" i="1"/>
  <c r="I83" i="1"/>
  <c r="I87" i="1"/>
  <c r="J91" i="1"/>
  <c r="L95" i="1"/>
  <c r="I100" i="1"/>
  <c r="J104" i="1"/>
  <c r="J109" i="1"/>
  <c r="I114" i="1"/>
  <c r="L118" i="1"/>
  <c r="J123" i="1"/>
  <c r="I128" i="1"/>
  <c r="J133" i="1"/>
  <c r="I138" i="1"/>
  <c r="L142" i="1"/>
  <c r="J147" i="1"/>
  <c r="J152" i="1"/>
  <c r="J158" i="1"/>
  <c r="J163" i="1"/>
  <c r="J168" i="1"/>
  <c r="J174" i="1"/>
  <c r="J179" i="1"/>
  <c r="J184" i="1"/>
  <c r="L190" i="1"/>
  <c r="I196" i="1"/>
  <c r="L202" i="1"/>
  <c r="I208" i="1"/>
  <c r="L214" i="1"/>
  <c r="I222" i="1"/>
  <c r="L227" i="1"/>
  <c r="I235" i="1"/>
  <c r="J242" i="1"/>
  <c r="J250" i="1"/>
  <c r="I259" i="1"/>
  <c r="I270" i="1"/>
  <c r="L278" i="1"/>
  <c r="I290" i="1"/>
  <c r="J306" i="1"/>
  <c r="L343" i="1"/>
  <c r="J397" i="1"/>
  <c r="T18" i="3"/>
  <c r="T21" i="3"/>
  <c r="T22" i="3"/>
  <c r="T25" i="3"/>
  <c r="T4" i="3"/>
  <c r="T16" i="3"/>
  <c r="T6" i="3"/>
  <c r="T5" i="3"/>
  <c r="T8" i="3"/>
  <c r="T20" i="3"/>
  <c r="T10" i="3"/>
  <c r="T26" i="3"/>
  <c r="T15" i="3"/>
  <c r="T17" i="3"/>
  <c r="P7" i="3"/>
  <c r="B7" i="5" s="1"/>
  <c r="P9" i="3"/>
  <c r="B9" i="5" s="1"/>
  <c r="P12" i="3"/>
  <c r="B12" i="5" s="1"/>
  <c r="P10" i="3"/>
  <c r="B10" i="5" s="1"/>
  <c r="P13" i="3"/>
  <c r="B13" i="5" s="1"/>
  <c r="P21" i="3"/>
  <c r="B21" i="5" s="1"/>
  <c r="Q22" i="3"/>
  <c r="C22" i="5" s="1"/>
  <c r="Q15" i="3"/>
  <c r="C15" i="5" s="1"/>
  <c r="P4" i="3"/>
  <c r="B4" i="5" s="1"/>
  <c r="P16" i="3"/>
  <c r="B16" i="5" s="1"/>
  <c r="P5" i="3"/>
  <c r="B5" i="5" s="1"/>
  <c r="P11" i="3"/>
  <c r="B11" i="5" s="1"/>
  <c r="P17" i="3"/>
  <c r="B17" i="5" s="1"/>
  <c r="P23" i="3"/>
  <c r="B23" i="5" s="1"/>
  <c r="P6" i="3"/>
  <c r="B6" i="5" s="1"/>
  <c r="P18" i="3"/>
  <c r="B18" i="5" s="1"/>
  <c r="P24" i="3"/>
  <c r="B24" i="5" s="1"/>
  <c r="P19" i="3"/>
  <c r="B19" i="5" s="1"/>
  <c r="P25" i="3"/>
  <c r="B25" i="5" s="1"/>
  <c r="P8" i="3"/>
  <c r="B8" i="5" s="1"/>
  <c r="P14" i="3"/>
  <c r="B14" i="5" s="1"/>
  <c r="P20" i="3"/>
  <c r="B20" i="5" s="1"/>
  <c r="P26" i="3"/>
  <c r="B26" i="5" s="1"/>
  <c r="T3" i="3"/>
  <c r="U5" i="3" l="1"/>
  <c r="G5" i="5" s="1"/>
  <c r="F5" i="5"/>
  <c r="U6" i="3"/>
  <c r="G6" i="5" s="1"/>
  <c r="F6" i="5"/>
  <c r="U16" i="3"/>
  <c r="G16" i="5" s="1"/>
  <c r="F16" i="5"/>
  <c r="U4" i="3"/>
  <c r="G4" i="5" s="1"/>
  <c r="F4" i="5"/>
  <c r="U23" i="3"/>
  <c r="G23" i="5" s="1"/>
  <c r="F23" i="5"/>
  <c r="U25" i="3"/>
  <c r="G25" i="5" s="1"/>
  <c r="F25" i="5"/>
  <c r="U11" i="3"/>
  <c r="G11" i="5" s="1"/>
  <c r="F11" i="5"/>
  <c r="U22" i="3"/>
  <c r="G22" i="5" s="1"/>
  <c r="F22" i="5"/>
  <c r="U17" i="3"/>
  <c r="G17" i="5" s="1"/>
  <c r="F17" i="5"/>
  <c r="U21" i="3"/>
  <c r="G21" i="5" s="1"/>
  <c r="F21" i="5"/>
  <c r="U14" i="3"/>
  <c r="G14" i="5" s="1"/>
  <c r="F14" i="5"/>
  <c r="U3" i="3"/>
  <c r="G3" i="5" s="1"/>
  <c r="F3" i="5"/>
  <c r="U15" i="3"/>
  <c r="G15" i="5" s="1"/>
  <c r="F15" i="5"/>
  <c r="U18" i="3"/>
  <c r="G18" i="5" s="1"/>
  <c r="F18" i="5"/>
  <c r="U26" i="3"/>
  <c r="G26" i="5" s="1"/>
  <c r="F26" i="5"/>
  <c r="U10" i="3"/>
  <c r="G10" i="5" s="1"/>
  <c r="F10" i="5"/>
  <c r="U20" i="3"/>
  <c r="G20" i="5" s="1"/>
  <c r="F20" i="5"/>
  <c r="U8" i="3"/>
  <c r="G8" i="5" s="1"/>
  <c r="F8" i="5"/>
  <c r="V18" i="3"/>
  <c r="H18" i="5" s="1"/>
  <c r="V4" i="3"/>
  <c r="H4" i="5" s="1"/>
  <c r="V6" i="3"/>
  <c r="H6" i="5" s="1"/>
  <c r="V11" i="3"/>
  <c r="H11" i="5" s="1"/>
  <c r="V22" i="3"/>
  <c r="H22" i="5" s="1"/>
  <c r="V12" i="3" l="1"/>
  <c r="H12" i="5" s="1"/>
  <c r="V8" i="3"/>
  <c r="H8" i="5" s="1"/>
  <c r="V17" i="3"/>
  <c r="H17" i="5" s="1"/>
  <c r="V13" i="3"/>
  <c r="H13" i="5" s="1"/>
  <c r="V26" i="3"/>
  <c r="H26" i="5" s="1"/>
  <c r="V5" i="3"/>
  <c r="H5" i="5" s="1"/>
  <c r="V9" i="3"/>
  <c r="H9" i="5" s="1"/>
  <c r="V24" i="3"/>
  <c r="H24" i="5" s="1"/>
  <c r="V10" i="3"/>
  <c r="H10" i="5" s="1"/>
  <c r="V19" i="3"/>
  <c r="H19" i="5" s="1"/>
  <c r="V23" i="3"/>
  <c r="H23" i="5" s="1"/>
  <c r="V7" i="3"/>
  <c r="H7" i="5" s="1"/>
  <c r="V20" i="3"/>
  <c r="H20" i="5" s="1"/>
  <c r="V21" i="3"/>
  <c r="H21" i="5" s="1"/>
  <c r="V25" i="3"/>
  <c r="H25" i="5" s="1"/>
  <c r="V14" i="3"/>
  <c r="H14" i="5" s="1"/>
  <c r="V16" i="3"/>
  <c r="H16" i="5" s="1"/>
  <c r="V15" i="3"/>
  <c r="H15" i="5" s="1"/>
</calcChain>
</file>

<file path=xl/sharedStrings.xml><?xml version="1.0" encoding="utf-8"?>
<sst xmlns="http://schemas.openxmlformats.org/spreadsheetml/2006/main" count="53" uniqueCount="35">
  <si>
    <t>LEFI</t>
  </si>
  <si>
    <t>Pases Pasivos en pesos (1)</t>
  </si>
  <si>
    <t>Pases Activos en pesos (1)</t>
  </si>
  <si>
    <t>LELIQ</t>
  </si>
  <si>
    <t>Pases Neto</t>
  </si>
  <si>
    <t>Mes</t>
  </si>
  <si>
    <t>F</t>
  </si>
  <si>
    <t>PNM bil</t>
  </si>
  <si>
    <t>LEFI bil</t>
  </si>
  <si>
    <t>Gasto Primario</t>
  </si>
  <si>
    <t>Recaudacion</t>
  </si>
  <si>
    <t>IPC</t>
  </si>
  <si>
    <t>PNM $ bill</t>
  </si>
  <si>
    <t>LEFI $ bill</t>
  </si>
  <si>
    <t>PNM + LEFI $ bill</t>
  </si>
  <si>
    <t>PNM + LEFI $ constantes</t>
  </si>
  <si>
    <t>PNM + LEFI indice</t>
  </si>
  <si>
    <t>Otros</t>
  </si>
  <si>
    <t>Otros 
(13)</t>
  </si>
  <si>
    <t>Otros $ bill</t>
  </si>
  <si>
    <t>Otros $ constantes</t>
  </si>
  <si>
    <t>Fecha</t>
  </si>
  <si>
    <t>Var BM</t>
  </si>
  <si>
    <t>$ bill</t>
  </si>
  <si>
    <t>u$s millones</t>
  </si>
  <si>
    <t>s/ var. BM neta</t>
  </si>
  <si>
    <t>Sup SPNF</t>
  </si>
  <si>
    <t>Pagos Deuda Pub.</t>
  </si>
  <si>
    <t>Sup - Pagos</t>
  </si>
  <si>
    <t>Var BM neta</t>
  </si>
  <si>
    <t>Acum RI</t>
  </si>
  <si>
    <t>Canc LEFI</t>
  </si>
  <si>
    <t>Falta p/ LEFI</t>
  </si>
  <si>
    <t>-</t>
  </si>
  <si>
    <t>Otros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</si>
</sst>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Comic Sans MS"/>
      <family val="4"/>
    </font>
    <font>
      <sz val="10"/>
      <name val="Gill Sans MT"/>
      <family val="2"/>
    </font>
    <font>
      <sz val="12"/>
      <name val="Arial"/>
      <family val="2"/>
    </font>
    <font>
      <sz val="11"/>
      <color rgb="FF2B2B2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4" fillId="3" borderId="0"/>
  </cellStyleXfs>
  <cellXfs count="15">
    <xf numFmtId="0" fontId="0" fillId="0" borderId="0" xfId="0"/>
    <xf numFmtId="3" fontId="3" fillId="2" borderId="1" xfId="1" applyNumberFormat="1" applyFont="1" applyFill="1" applyBorder="1" applyAlignment="1">
      <alignment horizontal="center"/>
    </xf>
    <xf numFmtId="15" fontId="3" fillId="2" borderId="1" xfId="1" applyNumberFormat="1" applyFont="1" applyFill="1" applyBorder="1" applyAlignment="1">
      <alignment horizontal="center"/>
    </xf>
    <xf numFmtId="1" fontId="3" fillId="2" borderId="0" xfId="1" applyNumberFormat="1" applyFont="1" applyFill="1" applyAlignment="1">
      <alignment horizontal="center"/>
    </xf>
    <xf numFmtId="0" fontId="1" fillId="0" borderId="0" xfId="0" applyFont="1"/>
    <xf numFmtId="17" fontId="0" fillId="0" borderId="0" xfId="0" applyNumberFormat="1"/>
    <xf numFmtId="164" fontId="0" fillId="0" borderId="0" xfId="0" applyNumberFormat="1"/>
    <xf numFmtId="1" fontId="0" fillId="0" borderId="0" xfId="0" applyNumberFormat="1"/>
    <xf numFmtId="17" fontId="0" fillId="4" borderId="0" xfId="0" applyNumberFormat="1" applyFill="1"/>
    <xf numFmtId="0" fontId="0" fillId="4" borderId="0" xfId="0" applyFill="1"/>
    <xf numFmtId="164" fontId="0" fillId="4" borderId="0" xfId="0" applyNumberFormat="1" applyFill="1"/>
    <xf numFmtId="0" fontId="5" fillId="0" borderId="0" xfId="0" applyFont="1"/>
    <xf numFmtId="1" fontId="0" fillId="4" borderId="0" xfId="0" applyNumberFormat="1" applyFill="1"/>
    <xf numFmtId="9" fontId="0" fillId="0" borderId="0" xfId="0" applyNumberFormat="1"/>
    <xf numFmtId="0" fontId="0" fillId="0" borderId="0" xfId="0" applyFont="1"/>
  </cellXfs>
  <cellStyles count="3">
    <cellStyle name="Normal" xfId="0" builtinId="0"/>
    <cellStyle name="Normal 5 2" xfId="2" xr:uid="{B4C384CD-E827-4225-98BF-D2110A1B9C50}"/>
    <cellStyle name="Normal_Tasas" xfId="1" xr:uid="{18A32303-12F4-4EC2-BA25-AE4AC1A111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562F-D6D8-4C47-A310-AE7E2B56A76B}">
  <dimension ref="A1:M500"/>
  <sheetViews>
    <sheetView topLeftCell="A470" workbookViewId="0">
      <selection activeCell="H500" sqref="H500"/>
    </sheetView>
  </sheetViews>
  <sheetFormatPr baseColWidth="10" defaultRowHeight="15" x14ac:dyDescent="0.25"/>
  <cols>
    <col min="2" max="4" width="25" bestFit="1" customWidth="1"/>
  </cols>
  <sheetData>
    <row r="1" spans="1:13" ht="15.75" customHeight="1" x14ac:dyDescent="0.25">
      <c r="B1" t="s">
        <v>1</v>
      </c>
      <c r="C1" t="s">
        <v>2</v>
      </c>
      <c r="D1" s="4" t="s">
        <v>4</v>
      </c>
      <c r="E1" s="4" t="s">
        <v>3</v>
      </c>
      <c r="F1" s="4" t="s">
        <v>0</v>
      </c>
      <c r="G1" s="4" t="s">
        <v>18</v>
      </c>
      <c r="H1" s="4" t="s">
        <v>5</v>
      </c>
      <c r="I1" s="4" t="s">
        <v>4</v>
      </c>
      <c r="J1" s="4" t="s">
        <v>3</v>
      </c>
      <c r="K1" s="4" t="s">
        <v>0</v>
      </c>
      <c r="L1" s="4" t="s">
        <v>17</v>
      </c>
      <c r="M1" s="4" t="s">
        <v>6</v>
      </c>
    </row>
    <row r="2" spans="1:13" ht="15.75" x14ac:dyDescent="0.3">
      <c r="A2" s="2">
        <v>45231</v>
      </c>
      <c r="B2" s="1">
        <v>8709890</v>
      </c>
      <c r="C2" s="1">
        <v>0</v>
      </c>
      <c r="D2" s="3">
        <f t="shared" ref="D2:D6" si="0">+B2-C2</f>
        <v>8709890</v>
      </c>
      <c r="E2" s="1">
        <v>13516617.362199999</v>
      </c>
      <c r="F2" s="1">
        <v>0</v>
      </c>
      <c r="G2" s="1"/>
      <c r="H2">
        <f>+MONTH(A2)</f>
        <v>11</v>
      </c>
      <c r="I2" t="str">
        <f>+IF($H2&lt;&gt;$H3,D2,"")</f>
        <v/>
      </c>
      <c r="J2" t="str">
        <f>+IF($H2&lt;&gt;$H3,E2,"")</f>
        <v/>
      </c>
      <c r="K2" t="str">
        <f>+IF($H2&lt;&gt;$H3,F2,"")</f>
        <v/>
      </c>
      <c r="L2" t="str">
        <f>+IF($H2&lt;&gt;$H3,G2,"")</f>
        <v/>
      </c>
      <c r="M2" t="b">
        <f>+$H2&lt;&gt;$H3</f>
        <v>0</v>
      </c>
    </row>
    <row r="3" spans="1:13" ht="15.75" x14ac:dyDescent="0.3">
      <c r="A3" s="2">
        <v>45232</v>
      </c>
      <c r="B3" s="1">
        <v>8747515</v>
      </c>
      <c r="C3" s="1">
        <v>0</v>
      </c>
      <c r="D3" s="3">
        <f t="shared" si="0"/>
        <v>8747515</v>
      </c>
      <c r="E3" s="1">
        <v>13587059.075904001</v>
      </c>
      <c r="F3" s="1">
        <v>0</v>
      </c>
      <c r="G3" s="1"/>
      <c r="H3">
        <f t="shared" ref="H3:H66" si="1">+MONTH(A3)</f>
        <v>11</v>
      </c>
      <c r="I3" t="str">
        <f t="shared" ref="I3:I66" si="2">+IF($H3&lt;&gt;$H4,D3,"")</f>
        <v/>
      </c>
      <c r="J3" t="str">
        <f t="shared" ref="J3:J66" si="3">+IF($H3&lt;&gt;$H4,E3,"")</f>
        <v/>
      </c>
      <c r="K3" t="str">
        <f t="shared" ref="K3:L66" si="4">+IF($H3&lt;&gt;$H4,F3,"")</f>
        <v/>
      </c>
      <c r="L3" t="str">
        <f t="shared" si="4"/>
        <v/>
      </c>
      <c r="M3" t="b">
        <f t="shared" ref="M3:M66" si="5">+$H3&lt;&gt;$H4</f>
        <v>0</v>
      </c>
    </row>
    <row r="4" spans="1:13" ht="15.75" x14ac:dyDescent="0.3">
      <c r="A4" s="2">
        <v>45233</v>
      </c>
      <c r="B4" s="1">
        <v>9212790</v>
      </c>
      <c r="C4" s="1">
        <v>0</v>
      </c>
      <c r="D4" s="3">
        <f t="shared" si="0"/>
        <v>9212790</v>
      </c>
      <c r="E4" s="1">
        <v>13587059.075904001</v>
      </c>
      <c r="F4" s="1">
        <v>0</v>
      </c>
      <c r="G4" s="1"/>
      <c r="H4">
        <f t="shared" si="1"/>
        <v>11</v>
      </c>
      <c r="I4" t="str">
        <f t="shared" si="2"/>
        <v/>
      </c>
      <c r="J4" t="str">
        <f t="shared" si="3"/>
        <v/>
      </c>
      <c r="K4" t="str">
        <f t="shared" si="4"/>
        <v/>
      </c>
      <c r="L4" t="str">
        <f t="shared" si="4"/>
        <v/>
      </c>
      <c r="M4" t="b">
        <f t="shared" si="5"/>
        <v>0</v>
      </c>
    </row>
    <row r="5" spans="1:13" ht="15.75" x14ac:dyDescent="0.3">
      <c r="A5" s="2">
        <v>45237</v>
      </c>
      <c r="B5" s="1">
        <v>9217305</v>
      </c>
      <c r="C5" s="1">
        <v>0</v>
      </c>
      <c r="D5" s="3">
        <f t="shared" si="0"/>
        <v>9217305</v>
      </c>
      <c r="E5" s="1">
        <v>13830514.823845999</v>
      </c>
      <c r="F5" s="1">
        <v>0</v>
      </c>
      <c r="G5" s="1"/>
      <c r="H5">
        <f t="shared" si="1"/>
        <v>11</v>
      </c>
      <c r="I5" t="str">
        <f t="shared" si="2"/>
        <v/>
      </c>
      <c r="J5" t="str">
        <f t="shared" si="3"/>
        <v/>
      </c>
      <c r="K5" t="str">
        <f t="shared" si="4"/>
        <v/>
      </c>
      <c r="L5" t="str">
        <f t="shared" si="4"/>
        <v/>
      </c>
      <c r="M5" t="b">
        <f t="shared" si="5"/>
        <v>0</v>
      </c>
    </row>
    <row r="6" spans="1:13" ht="15.75" x14ac:dyDescent="0.3">
      <c r="A6" s="2">
        <v>45238</v>
      </c>
      <c r="B6" s="1">
        <v>9225716</v>
      </c>
      <c r="C6" s="1">
        <v>0</v>
      </c>
      <c r="D6" s="3">
        <f t="shared" si="0"/>
        <v>9225716</v>
      </c>
      <c r="E6" s="1">
        <v>13830489.823845999</v>
      </c>
      <c r="F6" s="1">
        <v>0</v>
      </c>
      <c r="G6" s="1"/>
      <c r="H6">
        <f t="shared" si="1"/>
        <v>11</v>
      </c>
      <c r="I6" t="str">
        <f t="shared" si="2"/>
        <v/>
      </c>
      <c r="J6" t="str">
        <f t="shared" si="3"/>
        <v/>
      </c>
      <c r="K6" t="str">
        <f t="shared" si="4"/>
        <v/>
      </c>
      <c r="L6" t="str">
        <f t="shared" si="4"/>
        <v/>
      </c>
      <c r="M6" t="b">
        <f t="shared" si="5"/>
        <v>0</v>
      </c>
    </row>
    <row r="7" spans="1:13" ht="15.75" x14ac:dyDescent="0.3">
      <c r="A7" s="2">
        <v>45239</v>
      </c>
      <c r="B7" s="1">
        <v>9213093</v>
      </c>
      <c r="C7" s="1">
        <v>0</v>
      </c>
      <c r="D7" s="3">
        <f t="shared" ref="D7:D70" si="6">+B7-C7</f>
        <v>9213093</v>
      </c>
      <c r="E7" s="1">
        <v>14021837.470422</v>
      </c>
      <c r="F7" s="1">
        <v>0</v>
      </c>
      <c r="G7" s="1"/>
      <c r="H7">
        <f t="shared" si="1"/>
        <v>11</v>
      </c>
      <c r="I7" t="str">
        <f t="shared" si="2"/>
        <v/>
      </c>
      <c r="J7" t="str">
        <f t="shared" si="3"/>
        <v/>
      </c>
      <c r="K7" t="str">
        <f t="shared" si="4"/>
        <v/>
      </c>
      <c r="L7" t="str">
        <f t="shared" si="4"/>
        <v/>
      </c>
      <c r="M7" t="b">
        <f t="shared" si="5"/>
        <v>0</v>
      </c>
    </row>
    <row r="8" spans="1:13" ht="15.75" x14ac:dyDescent="0.3">
      <c r="A8" s="2">
        <v>45240</v>
      </c>
      <c r="B8" s="1">
        <v>9180710</v>
      </c>
      <c r="C8" s="1">
        <v>0</v>
      </c>
      <c r="D8" s="3">
        <f t="shared" si="6"/>
        <v>9180710</v>
      </c>
      <c r="E8" s="1">
        <v>14021837.470422</v>
      </c>
      <c r="F8" s="1">
        <v>0</v>
      </c>
      <c r="G8" s="1"/>
      <c r="H8">
        <f t="shared" si="1"/>
        <v>11</v>
      </c>
      <c r="I8" t="str">
        <f t="shared" si="2"/>
        <v/>
      </c>
      <c r="J8" t="str">
        <f t="shared" si="3"/>
        <v/>
      </c>
      <c r="K8" t="str">
        <f t="shared" si="4"/>
        <v/>
      </c>
      <c r="L8" t="str">
        <f t="shared" si="4"/>
        <v/>
      </c>
      <c r="M8" t="b">
        <f t="shared" si="5"/>
        <v>0</v>
      </c>
    </row>
    <row r="9" spans="1:13" ht="15.75" x14ac:dyDescent="0.3">
      <c r="A9" s="2">
        <v>45243</v>
      </c>
      <c r="B9" s="1">
        <v>9157382</v>
      </c>
      <c r="C9" s="1">
        <v>0</v>
      </c>
      <c r="D9" s="3">
        <f t="shared" si="6"/>
        <v>9157382</v>
      </c>
      <c r="E9" s="1">
        <v>14021837.470422</v>
      </c>
      <c r="F9" s="1">
        <v>0</v>
      </c>
      <c r="G9" s="1"/>
      <c r="H9">
        <f t="shared" si="1"/>
        <v>11</v>
      </c>
      <c r="I9" t="str">
        <f t="shared" si="2"/>
        <v/>
      </c>
      <c r="J9" t="str">
        <f t="shared" si="3"/>
        <v/>
      </c>
      <c r="K9" t="str">
        <f t="shared" si="4"/>
        <v/>
      </c>
      <c r="L9" t="str">
        <f t="shared" si="4"/>
        <v/>
      </c>
      <c r="M9" t="b">
        <f t="shared" si="5"/>
        <v>0</v>
      </c>
    </row>
    <row r="10" spans="1:13" ht="15.75" x14ac:dyDescent="0.3">
      <c r="A10" s="2">
        <v>45244</v>
      </c>
      <c r="B10" s="1">
        <v>9101064</v>
      </c>
      <c r="C10" s="1">
        <v>0</v>
      </c>
      <c r="D10" s="3">
        <f t="shared" si="6"/>
        <v>9101064</v>
      </c>
      <c r="E10" s="1">
        <v>14205770.4485</v>
      </c>
      <c r="F10" s="1">
        <v>0</v>
      </c>
      <c r="G10" s="1"/>
      <c r="H10">
        <f t="shared" si="1"/>
        <v>11</v>
      </c>
      <c r="I10" t="str">
        <f t="shared" si="2"/>
        <v/>
      </c>
      <c r="J10" t="str">
        <f t="shared" si="3"/>
        <v/>
      </c>
      <c r="K10" t="str">
        <f t="shared" si="4"/>
        <v/>
      </c>
      <c r="L10" t="str">
        <f t="shared" si="4"/>
        <v/>
      </c>
      <c r="M10" t="b">
        <f t="shared" si="5"/>
        <v>0</v>
      </c>
    </row>
    <row r="11" spans="1:13" ht="15.75" x14ac:dyDescent="0.3">
      <c r="A11" s="2">
        <v>45245</v>
      </c>
      <c r="B11" s="1">
        <v>9044407</v>
      </c>
      <c r="C11" s="1">
        <v>0</v>
      </c>
      <c r="D11" s="3">
        <f t="shared" si="6"/>
        <v>9044407</v>
      </c>
      <c r="E11" s="1">
        <v>14205505.4485</v>
      </c>
      <c r="F11" s="1">
        <v>0</v>
      </c>
      <c r="G11" s="1"/>
      <c r="H11">
        <f t="shared" si="1"/>
        <v>11</v>
      </c>
      <c r="I11" t="str">
        <f t="shared" si="2"/>
        <v/>
      </c>
      <c r="J11" t="str">
        <f t="shared" si="3"/>
        <v/>
      </c>
      <c r="K11" t="str">
        <f t="shared" si="4"/>
        <v/>
      </c>
      <c r="L11" t="str">
        <f t="shared" si="4"/>
        <v/>
      </c>
      <c r="M11" t="b">
        <f t="shared" si="5"/>
        <v>0</v>
      </c>
    </row>
    <row r="12" spans="1:13" ht="15.75" x14ac:dyDescent="0.3">
      <c r="A12" s="2">
        <v>45246</v>
      </c>
      <c r="B12" s="1">
        <v>9369150</v>
      </c>
      <c r="C12" s="1">
        <v>0</v>
      </c>
      <c r="D12" s="3">
        <f t="shared" si="6"/>
        <v>9369150</v>
      </c>
      <c r="E12" s="1">
        <v>13975368.084224001</v>
      </c>
      <c r="F12" s="1">
        <v>0</v>
      </c>
      <c r="G12" s="1"/>
      <c r="H12">
        <f t="shared" si="1"/>
        <v>11</v>
      </c>
      <c r="I12" t="str">
        <f t="shared" si="2"/>
        <v/>
      </c>
      <c r="J12" t="str">
        <f t="shared" si="3"/>
        <v/>
      </c>
      <c r="K12" t="str">
        <f t="shared" si="4"/>
        <v/>
      </c>
      <c r="L12" t="str">
        <f t="shared" si="4"/>
        <v/>
      </c>
      <c r="M12" t="b">
        <f t="shared" si="5"/>
        <v>0</v>
      </c>
    </row>
    <row r="13" spans="1:13" ht="15.75" x14ac:dyDescent="0.3">
      <c r="A13" s="2">
        <v>45247</v>
      </c>
      <c r="B13" s="1">
        <v>9199548</v>
      </c>
      <c r="C13" s="1">
        <v>0</v>
      </c>
      <c r="D13" s="3">
        <f t="shared" si="6"/>
        <v>9199548</v>
      </c>
      <c r="E13" s="1">
        <v>13975368.084224001</v>
      </c>
      <c r="F13" s="1">
        <v>0</v>
      </c>
      <c r="G13" s="1"/>
      <c r="H13">
        <f t="shared" si="1"/>
        <v>11</v>
      </c>
      <c r="I13" t="str">
        <f t="shared" si="2"/>
        <v/>
      </c>
      <c r="J13" t="str">
        <f t="shared" si="3"/>
        <v/>
      </c>
      <c r="K13" t="str">
        <f t="shared" si="4"/>
        <v/>
      </c>
      <c r="L13" t="str">
        <f t="shared" si="4"/>
        <v/>
      </c>
      <c r="M13" t="b">
        <f t="shared" si="5"/>
        <v>0</v>
      </c>
    </row>
    <row r="14" spans="1:13" ht="15.75" x14ac:dyDescent="0.3">
      <c r="A14" s="2">
        <v>45251</v>
      </c>
      <c r="B14" s="1">
        <v>11411984</v>
      </c>
      <c r="C14" s="1">
        <v>0</v>
      </c>
      <c r="D14" s="3">
        <f t="shared" si="6"/>
        <v>11411984</v>
      </c>
      <c r="E14" s="1">
        <v>12344520.105155</v>
      </c>
      <c r="F14" s="1">
        <v>0</v>
      </c>
      <c r="G14" s="1"/>
      <c r="H14">
        <f t="shared" si="1"/>
        <v>11</v>
      </c>
      <c r="I14" t="str">
        <f t="shared" si="2"/>
        <v/>
      </c>
      <c r="J14" t="str">
        <f t="shared" si="3"/>
        <v/>
      </c>
      <c r="K14" t="str">
        <f t="shared" si="4"/>
        <v/>
      </c>
      <c r="L14" t="str">
        <f t="shared" si="4"/>
        <v/>
      </c>
      <c r="M14" t="b">
        <f t="shared" si="5"/>
        <v>0</v>
      </c>
    </row>
    <row r="15" spans="1:13" ht="15.75" x14ac:dyDescent="0.3">
      <c r="A15" s="2">
        <v>45252</v>
      </c>
      <c r="B15" s="1">
        <v>11540415</v>
      </c>
      <c r="C15" s="1">
        <v>0</v>
      </c>
      <c r="D15" s="3">
        <f t="shared" si="6"/>
        <v>11540415</v>
      </c>
      <c r="E15" s="1">
        <v>12344245.105155</v>
      </c>
      <c r="F15" s="1">
        <v>0</v>
      </c>
      <c r="G15" s="1"/>
      <c r="H15">
        <f t="shared" si="1"/>
        <v>11</v>
      </c>
      <c r="I15" t="str">
        <f t="shared" si="2"/>
        <v/>
      </c>
      <c r="J15" t="str">
        <f t="shared" si="3"/>
        <v/>
      </c>
      <c r="K15" t="str">
        <f t="shared" si="4"/>
        <v/>
      </c>
      <c r="L15" t="str">
        <f t="shared" si="4"/>
        <v/>
      </c>
      <c r="M15" t="b">
        <f t="shared" si="5"/>
        <v>0</v>
      </c>
    </row>
    <row r="16" spans="1:13" ht="15.75" x14ac:dyDescent="0.3">
      <c r="A16" s="2">
        <v>45253</v>
      </c>
      <c r="B16" s="1">
        <v>13129008</v>
      </c>
      <c r="C16" s="1">
        <v>0</v>
      </c>
      <c r="D16" s="3">
        <f t="shared" si="6"/>
        <v>13129008</v>
      </c>
      <c r="E16" s="1">
        <v>10715883.990080999</v>
      </c>
      <c r="F16" s="1">
        <v>0</v>
      </c>
      <c r="G16" s="1"/>
      <c r="H16">
        <f t="shared" si="1"/>
        <v>11</v>
      </c>
      <c r="I16" t="str">
        <f t="shared" si="2"/>
        <v/>
      </c>
      <c r="J16" t="str">
        <f t="shared" si="3"/>
        <v/>
      </c>
      <c r="K16" t="str">
        <f t="shared" si="4"/>
        <v/>
      </c>
      <c r="L16" t="str">
        <f t="shared" si="4"/>
        <v/>
      </c>
      <c r="M16" t="b">
        <f t="shared" si="5"/>
        <v>0</v>
      </c>
    </row>
    <row r="17" spans="1:13" ht="15.75" x14ac:dyDescent="0.3">
      <c r="A17" s="2">
        <v>45254</v>
      </c>
      <c r="B17" s="1">
        <v>13009799</v>
      </c>
      <c r="C17" s="1">
        <v>0</v>
      </c>
      <c r="D17" s="3">
        <f t="shared" si="6"/>
        <v>13009799</v>
      </c>
      <c r="E17" s="1">
        <v>10715883.990080999</v>
      </c>
      <c r="F17" s="1">
        <v>0</v>
      </c>
      <c r="G17" s="1"/>
      <c r="H17">
        <f t="shared" si="1"/>
        <v>11</v>
      </c>
      <c r="I17" t="str">
        <f t="shared" si="2"/>
        <v/>
      </c>
      <c r="J17" t="str">
        <f t="shared" si="3"/>
        <v/>
      </c>
      <c r="K17" t="str">
        <f t="shared" si="4"/>
        <v/>
      </c>
      <c r="L17" t="str">
        <f t="shared" si="4"/>
        <v/>
      </c>
      <c r="M17" t="b">
        <f t="shared" si="5"/>
        <v>0</v>
      </c>
    </row>
    <row r="18" spans="1:13" ht="15.75" x14ac:dyDescent="0.3">
      <c r="A18" s="2">
        <v>45257</v>
      </c>
      <c r="B18" s="1">
        <v>13016440</v>
      </c>
      <c r="C18" s="1">
        <v>0</v>
      </c>
      <c r="D18" s="3">
        <f t="shared" si="6"/>
        <v>13016440</v>
      </c>
      <c r="E18" s="1">
        <v>10715883.990080999</v>
      </c>
      <c r="F18" s="1">
        <v>0</v>
      </c>
      <c r="G18" s="1"/>
      <c r="H18">
        <f t="shared" si="1"/>
        <v>11</v>
      </c>
      <c r="I18" t="str">
        <f t="shared" si="2"/>
        <v/>
      </c>
      <c r="J18" t="str">
        <f t="shared" si="3"/>
        <v/>
      </c>
      <c r="K18" t="str">
        <f t="shared" si="4"/>
        <v/>
      </c>
      <c r="L18" t="str">
        <f t="shared" si="4"/>
        <v/>
      </c>
      <c r="M18" t="b">
        <f t="shared" si="5"/>
        <v>0</v>
      </c>
    </row>
    <row r="19" spans="1:13" ht="15.75" x14ac:dyDescent="0.3">
      <c r="A19" s="2">
        <v>45258</v>
      </c>
      <c r="B19" s="1">
        <v>14316158</v>
      </c>
      <c r="C19" s="1">
        <v>0</v>
      </c>
      <c r="D19" s="3">
        <f t="shared" si="6"/>
        <v>14316158</v>
      </c>
      <c r="E19" s="1">
        <v>9524958.1731070001</v>
      </c>
      <c r="F19" s="1">
        <v>0</v>
      </c>
      <c r="G19" s="1"/>
      <c r="H19">
        <f t="shared" si="1"/>
        <v>11</v>
      </c>
      <c r="I19" t="str">
        <f t="shared" si="2"/>
        <v/>
      </c>
      <c r="J19" t="str">
        <f t="shared" si="3"/>
        <v/>
      </c>
      <c r="K19" t="str">
        <f t="shared" si="4"/>
        <v/>
      </c>
      <c r="L19" t="str">
        <f t="shared" si="4"/>
        <v/>
      </c>
      <c r="M19" t="b">
        <f t="shared" si="5"/>
        <v>0</v>
      </c>
    </row>
    <row r="20" spans="1:13" ht="15.75" x14ac:dyDescent="0.3">
      <c r="A20" s="2">
        <v>45259</v>
      </c>
      <c r="B20" s="1">
        <v>14641698</v>
      </c>
      <c r="C20" s="1">
        <v>0</v>
      </c>
      <c r="D20" s="3">
        <f t="shared" si="6"/>
        <v>14641698</v>
      </c>
      <c r="E20" s="1">
        <v>9524633.1731070001</v>
      </c>
      <c r="F20" s="1">
        <v>0</v>
      </c>
      <c r="G20" s="1"/>
      <c r="H20">
        <f t="shared" si="1"/>
        <v>11</v>
      </c>
      <c r="I20" t="str">
        <f t="shared" si="2"/>
        <v/>
      </c>
      <c r="J20" t="str">
        <f t="shared" si="3"/>
        <v/>
      </c>
      <c r="K20" t="str">
        <f t="shared" si="4"/>
        <v/>
      </c>
      <c r="L20" t="str">
        <f t="shared" si="4"/>
        <v/>
      </c>
      <c r="M20" t="b">
        <f t="shared" si="5"/>
        <v>0</v>
      </c>
    </row>
    <row r="21" spans="1:13" ht="15.75" x14ac:dyDescent="0.3">
      <c r="A21" s="2">
        <v>45260</v>
      </c>
      <c r="B21" s="1">
        <v>14699956</v>
      </c>
      <c r="C21" s="1">
        <v>0</v>
      </c>
      <c r="D21" s="3">
        <f t="shared" si="6"/>
        <v>14699956</v>
      </c>
      <c r="E21" s="1">
        <v>7529063.4772190005</v>
      </c>
      <c r="F21" s="1">
        <v>0</v>
      </c>
      <c r="G21" s="1"/>
      <c r="H21">
        <f t="shared" si="1"/>
        <v>11</v>
      </c>
      <c r="I21">
        <f t="shared" si="2"/>
        <v>14699956</v>
      </c>
      <c r="J21">
        <f t="shared" si="3"/>
        <v>7529063.4772190005</v>
      </c>
      <c r="K21">
        <f t="shared" si="4"/>
        <v>0</v>
      </c>
      <c r="L21">
        <f t="shared" si="4"/>
        <v>0</v>
      </c>
      <c r="M21" t="b">
        <f t="shared" si="5"/>
        <v>1</v>
      </c>
    </row>
    <row r="22" spans="1:13" ht="15.75" x14ac:dyDescent="0.3">
      <c r="A22" s="2">
        <v>45261</v>
      </c>
      <c r="B22" s="1">
        <v>15194220</v>
      </c>
      <c r="C22" s="1">
        <v>0</v>
      </c>
      <c r="D22" s="3">
        <f t="shared" si="6"/>
        <v>15194220</v>
      </c>
      <c r="E22" s="1">
        <v>7529063.4772190005</v>
      </c>
      <c r="F22" s="1">
        <v>0</v>
      </c>
      <c r="G22" s="1"/>
      <c r="H22">
        <f t="shared" si="1"/>
        <v>12</v>
      </c>
      <c r="I22" t="str">
        <f t="shared" si="2"/>
        <v/>
      </c>
      <c r="J22" t="str">
        <f t="shared" si="3"/>
        <v/>
      </c>
      <c r="K22" t="str">
        <f t="shared" si="4"/>
        <v/>
      </c>
      <c r="L22" t="str">
        <f t="shared" si="4"/>
        <v/>
      </c>
      <c r="M22" t="b">
        <f t="shared" si="5"/>
        <v>0</v>
      </c>
    </row>
    <row r="23" spans="1:13" ht="15.75" x14ac:dyDescent="0.3">
      <c r="A23" s="2">
        <v>45264</v>
      </c>
      <c r="B23" s="1">
        <v>15362743</v>
      </c>
      <c r="C23" s="1">
        <v>0</v>
      </c>
      <c r="D23" s="3">
        <f t="shared" si="6"/>
        <v>15362743</v>
      </c>
      <c r="E23" s="1">
        <v>7529063.4772190005</v>
      </c>
      <c r="F23" s="1">
        <v>0</v>
      </c>
      <c r="G23" s="1"/>
      <c r="H23">
        <f t="shared" si="1"/>
        <v>12</v>
      </c>
      <c r="I23" t="str">
        <f t="shared" si="2"/>
        <v/>
      </c>
      <c r="J23" t="str">
        <f t="shared" si="3"/>
        <v/>
      </c>
      <c r="K23" t="str">
        <f t="shared" si="4"/>
        <v/>
      </c>
      <c r="L23" t="str">
        <f t="shared" si="4"/>
        <v/>
      </c>
      <c r="M23" t="b">
        <f t="shared" si="5"/>
        <v>0</v>
      </c>
    </row>
    <row r="24" spans="1:13" ht="15.75" x14ac:dyDescent="0.3">
      <c r="A24" s="2">
        <v>45265</v>
      </c>
      <c r="B24" s="1">
        <v>16488916</v>
      </c>
      <c r="C24" s="1">
        <v>0</v>
      </c>
      <c r="D24" s="3">
        <f t="shared" si="6"/>
        <v>16488916</v>
      </c>
      <c r="E24" s="1">
        <v>5985589.2607749999</v>
      </c>
      <c r="F24" s="1">
        <v>0</v>
      </c>
      <c r="G24" s="1"/>
      <c r="H24">
        <f t="shared" si="1"/>
        <v>12</v>
      </c>
      <c r="I24" t="str">
        <f t="shared" si="2"/>
        <v/>
      </c>
      <c r="J24" t="str">
        <f t="shared" si="3"/>
        <v/>
      </c>
      <c r="K24" t="str">
        <f t="shared" si="4"/>
        <v/>
      </c>
      <c r="L24" t="str">
        <f t="shared" si="4"/>
        <v/>
      </c>
      <c r="M24" t="b">
        <f t="shared" si="5"/>
        <v>0</v>
      </c>
    </row>
    <row r="25" spans="1:13" ht="15.75" x14ac:dyDescent="0.3">
      <c r="A25" s="2">
        <v>45266</v>
      </c>
      <c r="B25" s="1">
        <v>16462785</v>
      </c>
      <c r="C25" s="1">
        <v>0</v>
      </c>
      <c r="D25" s="3">
        <f t="shared" si="6"/>
        <v>16462785</v>
      </c>
      <c r="E25" s="1">
        <v>5985339.2607749999</v>
      </c>
      <c r="F25" s="1">
        <v>0</v>
      </c>
      <c r="G25" s="1"/>
      <c r="H25">
        <f t="shared" si="1"/>
        <v>12</v>
      </c>
      <c r="I25" t="str">
        <f t="shared" si="2"/>
        <v/>
      </c>
      <c r="J25" t="str">
        <f t="shared" si="3"/>
        <v/>
      </c>
      <c r="K25" t="str">
        <f t="shared" si="4"/>
        <v/>
      </c>
      <c r="L25" t="str">
        <f t="shared" si="4"/>
        <v/>
      </c>
      <c r="M25" t="b">
        <f t="shared" si="5"/>
        <v>0</v>
      </c>
    </row>
    <row r="26" spans="1:13" ht="15.75" x14ac:dyDescent="0.3">
      <c r="A26" s="2">
        <v>45267</v>
      </c>
      <c r="B26" s="1">
        <v>16543949</v>
      </c>
      <c r="C26" s="1">
        <v>0</v>
      </c>
      <c r="D26" s="3">
        <f t="shared" si="6"/>
        <v>16543949</v>
      </c>
      <c r="E26" s="1">
        <v>4851504.7944710003</v>
      </c>
      <c r="F26" s="1">
        <v>0</v>
      </c>
      <c r="G26" s="1"/>
      <c r="H26">
        <f t="shared" si="1"/>
        <v>12</v>
      </c>
      <c r="I26" t="str">
        <f t="shared" si="2"/>
        <v/>
      </c>
      <c r="J26" t="str">
        <f t="shared" si="3"/>
        <v/>
      </c>
      <c r="K26" t="str">
        <f t="shared" si="4"/>
        <v/>
      </c>
      <c r="L26" t="str">
        <f t="shared" si="4"/>
        <v/>
      </c>
      <c r="M26" t="b">
        <f t="shared" si="5"/>
        <v>0</v>
      </c>
    </row>
    <row r="27" spans="1:13" ht="15.75" x14ac:dyDescent="0.3">
      <c r="A27" s="2">
        <v>45271</v>
      </c>
      <c r="B27" s="1">
        <v>17747203</v>
      </c>
      <c r="C27" s="1">
        <v>0</v>
      </c>
      <c r="D27" s="3">
        <f t="shared" si="6"/>
        <v>17747203</v>
      </c>
      <c r="E27" s="1">
        <v>4851504.7944710003</v>
      </c>
      <c r="F27" s="1">
        <v>0</v>
      </c>
      <c r="G27" s="1"/>
      <c r="H27">
        <f t="shared" si="1"/>
        <v>12</v>
      </c>
      <c r="I27" t="str">
        <f t="shared" si="2"/>
        <v/>
      </c>
      <c r="J27" t="str">
        <f t="shared" si="3"/>
        <v/>
      </c>
      <c r="K27" t="str">
        <f t="shared" si="4"/>
        <v/>
      </c>
      <c r="L27" t="str">
        <f t="shared" si="4"/>
        <v/>
      </c>
      <c r="M27" t="b">
        <f t="shared" si="5"/>
        <v>0</v>
      </c>
    </row>
    <row r="28" spans="1:13" ht="15.75" x14ac:dyDescent="0.3">
      <c r="A28" s="2">
        <v>45272</v>
      </c>
      <c r="B28" s="1">
        <v>19212551</v>
      </c>
      <c r="C28" s="1">
        <v>0</v>
      </c>
      <c r="D28" s="3">
        <f t="shared" si="6"/>
        <v>19212551</v>
      </c>
      <c r="E28" s="1">
        <v>3318465.8833409999</v>
      </c>
      <c r="F28" s="1">
        <v>0</v>
      </c>
      <c r="G28" s="1"/>
      <c r="H28">
        <f t="shared" si="1"/>
        <v>12</v>
      </c>
      <c r="I28" t="str">
        <f t="shared" si="2"/>
        <v/>
      </c>
      <c r="J28" t="str">
        <f t="shared" si="3"/>
        <v/>
      </c>
      <c r="K28" t="str">
        <f t="shared" si="4"/>
        <v/>
      </c>
      <c r="L28" t="str">
        <f t="shared" si="4"/>
        <v/>
      </c>
      <c r="M28" t="b">
        <f t="shared" si="5"/>
        <v>0</v>
      </c>
    </row>
    <row r="29" spans="1:13" ht="15.75" x14ac:dyDescent="0.3">
      <c r="A29" s="2">
        <v>45273</v>
      </c>
      <c r="B29" s="1">
        <v>20827475</v>
      </c>
      <c r="C29" s="1">
        <v>0</v>
      </c>
      <c r="D29" s="3">
        <f t="shared" si="6"/>
        <v>20827475</v>
      </c>
      <c r="E29" s="1">
        <v>3316840.8833409999</v>
      </c>
      <c r="F29" s="1">
        <v>0</v>
      </c>
      <c r="G29" s="1"/>
      <c r="H29">
        <f t="shared" si="1"/>
        <v>12</v>
      </c>
      <c r="I29" t="str">
        <f t="shared" si="2"/>
        <v/>
      </c>
      <c r="J29" t="str">
        <f t="shared" si="3"/>
        <v/>
      </c>
      <c r="K29" t="str">
        <f t="shared" si="4"/>
        <v/>
      </c>
      <c r="L29" t="str">
        <f t="shared" si="4"/>
        <v/>
      </c>
      <c r="M29" t="b">
        <f t="shared" si="5"/>
        <v>0</v>
      </c>
    </row>
    <row r="30" spans="1:13" ht="15.75" x14ac:dyDescent="0.3">
      <c r="A30" s="2">
        <v>45274</v>
      </c>
      <c r="B30" s="1">
        <v>21724061</v>
      </c>
      <c r="C30" s="1">
        <v>0</v>
      </c>
      <c r="D30" s="3">
        <f t="shared" si="6"/>
        <v>21724061</v>
      </c>
      <c r="E30" s="1">
        <v>3316840.8833409999</v>
      </c>
      <c r="F30" s="1">
        <v>0</v>
      </c>
      <c r="G30" s="1"/>
      <c r="H30">
        <f t="shared" si="1"/>
        <v>12</v>
      </c>
      <c r="I30" t="str">
        <f t="shared" si="2"/>
        <v/>
      </c>
      <c r="J30" t="str">
        <f t="shared" si="3"/>
        <v/>
      </c>
      <c r="K30" t="str">
        <f t="shared" si="4"/>
        <v/>
      </c>
      <c r="L30" t="str">
        <f t="shared" si="4"/>
        <v/>
      </c>
      <c r="M30" t="b">
        <f t="shared" si="5"/>
        <v>0</v>
      </c>
    </row>
    <row r="31" spans="1:13" ht="15.75" x14ac:dyDescent="0.3">
      <c r="A31" s="2">
        <v>45275</v>
      </c>
      <c r="B31" s="1">
        <v>22036188</v>
      </c>
      <c r="C31" s="1">
        <v>0</v>
      </c>
      <c r="D31" s="3">
        <f t="shared" si="6"/>
        <v>22036188</v>
      </c>
      <c r="E31" s="1">
        <v>3316840.8833409999</v>
      </c>
      <c r="F31" s="1">
        <v>0</v>
      </c>
      <c r="G31" s="1"/>
      <c r="H31">
        <f t="shared" si="1"/>
        <v>12</v>
      </c>
      <c r="I31" t="str">
        <f t="shared" si="2"/>
        <v/>
      </c>
      <c r="J31" t="str">
        <f t="shared" si="3"/>
        <v/>
      </c>
      <c r="K31" t="str">
        <f t="shared" si="4"/>
        <v/>
      </c>
      <c r="L31" t="str">
        <f t="shared" si="4"/>
        <v/>
      </c>
      <c r="M31" t="b">
        <f t="shared" si="5"/>
        <v>0</v>
      </c>
    </row>
    <row r="32" spans="1:13" ht="15.75" x14ac:dyDescent="0.3">
      <c r="A32" s="2">
        <v>45278</v>
      </c>
      <c r="B32" s="1">
        <v>22622542</v>
      </c>
      <c r="C32" s="1">
        <v>0</v>
      </c>
      <c r="D32" s="3">
        <f t="shared" si="6"/>
        <v>22622542</v>
      </c>
      <c r="E32" s="1">
        <v>3316840.8833409999</v>
      </c>
      <c r="F32" s="1">
        <v>0</v>
      </c>
      <c r="G32" s="1"/>
      <c r="H32">
        <f t="shared" si="1"/>
        <v>12</v>
      </c>
      <c r="I32" t="str">
        <f t="shared" si="2"/>
        <v/>
      </c>
      <c r="J32" t="str">
        <f t="shared" si="3"/>
        <v/>
      </c>
      <c r="K32" t="str">
        <f t="shared" si="4"/>
        <v/>
      </c>
      <c r="L32" t="str">
        <f t="shared" si="4"/>
        <v/>
      </c>
      <c r="M32" t="b">
        <f t="shared" si="5"/>
        <v>0</v>
      </c>
    </row>
    <row r="33" spans="1:13" ht="15.75" x14ac:dyDescent="0.3">
      <c r="A33" s="2">
        <v>45279</v>
      </c>
      <c r="B33" s="1">
        <v>23969152</v>
      </c>
      <c r="C33" s="1">
        <v>0</v>
      </c>
      <c r="D33" s="3">
        <f t="shared" si="6"/>
        <v>23969152</v>
      </c>
      <c r="E33" s="1">
        <v>2243110.8833409999</v>
      </c>
      <c r="F33" s="1">
        <v>0</v>
      </c>
      <c r="G33" s="1"/>
      <c r="H33">
        <f t="shared" si="1"/>
        <v>12</v>
      </c>
      <c r="I33" t="str">
        <f t="shared" si="2"/>
        <v/>
      </c>
      <c r="J33" t="str">
        <f t="shared" si="3"/>
        <v/>
      </c>
      <c r="K33" t="str">
        <f t="shared" si="4"/>
        <v/>
      </c>
      <c r="L33" t="str">
        <f t="shared" si="4"/>
        <v/>
      </c>
      <c r="M33" t="b">
        <f t="shared" si="5"/>
        <v>0</v>
      </c>
    </row>
    <row r="34" spans="1:13" ht="15.75" x14ac:dyDescent="0.3">
      <c r="A34" s="2">
        <v>45280</v>
      </c>
      <c r="B34" s="1">
        <v>24191507</v>
      </c>
      <c r="C34" s="1">
        <v>0</v>
      </c>
      <c r="D34" s="3">
        <f t="shared" si="6"/>
        <v>24191507</v>
      </c>
      <c r="E34" s="1">
        <v>2238835.8833409999</v>
      </c>
      <c r="F34" s="1">
        <v>0</v>
      </c>
      <c r="G34" s="1"/>
      <c r="H34">
        <f t="shared" si="1"/>
        <v>12</v>
      </c>
      <c r="I34" t="str">
        <f t="shared" si="2"/>
        <v/>
      </c>
      <c r="J34" t="str">
        <f t="shared" si="3"/>
        <v/>
      </c>
      <c r="K34" t="str">
        <f t="shared" si="4"/>
        <v/>
      </c>
      <c r="L34" t="str">
        <f t="shared" si="4"/>
        <v/>
      </c>
      <c r="M34" t="b">
        <f t="shared" si="5"/>
        <v>0</v>
      </c>
    </row>
    <row r="35" spans="1:13" ht="15.75" x14ac:dyDescent="0.3">
      <c r="A35" s="2">
        <v>45281</v>
      </c>
      <c r="B35" s="1">
        <v>24637875</v>
      </c>
      <c r="C35" s="1">
        <v>0</v>
      </c>
      <c r="D35" s="3">
        <f t="shared" si="6"/>
        <v>24637875</v>
      </c>
      <c r="E35" s="1">
        <v>2048025.8833409999</v>
      </c>
      <c r="F35" s="1">
        <v>0</v>
      </c>
      <c r="G35" s="1"/>
      <c r="H35">
        <f t="shared" si="1"/>
        <v>12</v>
      </c>
      <c r="I35" t="str">
        <f t="shared" si="2"/>
        <v/>
      </c>
      <c r="J35" t="str">
        <f t="shared" si="3"/>
        <v/>
      </c>
      <c r="K35" t="str">
        <f t="shared" si="4"/>
        <v/>
      </c>
      <c r="L35" t="str">
        <f t="shared" si="4"/>
        <v/>
      </c>
      <c r="M35" t="b">
        <f t="shared" si="5"/>
        <v>0</v>
      </c>
    </row>
    <row r="36" spans="1:13" ht="15.75" x14ac:dyDescent="0.3">
      <c r="A36" s="2">
        <v>45282</v>
      </c>
      <c r="B36" s="1">
        <v>22498669</v>
      </c>
      <c r="C36" s="1">
        <v>0</v>
      </c>
      <c r="D36" s="3">
        <f t="shared" si="6"/>
        <v>22498669</v>
      </c>
      <c r="E36" s="1">
        <v>2048025.8833409999</v>
      </c>
      <c r="F36" s="1">
        <v>0</v>
      </c>
      <c r="G36" s="1"/>
      <c r="H36">
        <f t="shared" si="1"/>
        <v>12</v>
      </c>
      <c r="I36" t="str">
        <f t="shared" si="2"/>
        <v/>
      </c>
      <c r="J36" t="str">
        <f t="shared" si="3"/>
        <v/>
      </c>
      <c r="K36" t="str">
        <f t="shared" si="4"/>
        <v/>
      </c>
      <c r="L36" t="str">
        <f t="shared" si="4"/>
        <v/>
      </c>
      <c r="M36" t="b">
        <f t="shared" si="5"/>
        <v>0</v>
      </c>
    </row>
    <row r="37" spans="1:13" ht="15.75" x14ac:dyDescent="0.3">
      <c r="A37" s="2">
        <v>45286</v>
      </c>
      <c r="B37" s="1">
        <v>23244951</v>
      </c>
      <c r="C37" s="1">
        <v>0</v>
      </c>
      <c r="D37" s="3">
        <f t="shared" si="6"/>
        <v>23244951</v>
      </c>
      <c r="E37" s="1">
        <v>1695864.1791989999</v>
      </c>
      <c r="F37" s="1">
        <v>0</v>
      </c>
      <c r="G37" s="1"/>
      <c r="H37">
        <f t="shared" si="1"/>
        <v>12</v>
      </c>
      <c r="I37" t="str">
        <f t="shared" si="2"/>
        <v/>
      </c>
      <c r="J37" t="str">
        <f t="shared" si="3"/>
        <v/>
      </c>
      <c r="K37" t="str">
        <f t="shared" si="4"/>
        <v/>
      </c>
      <c r="L37" t="str">
        <f t="shared" si="4"/>
        <v/>
      </c>
      <c r="M37" t="b">
        <f t="shared" si="5"/>
        <v>0</v>
      </c>
    </row>
    <row r="38" spans="1:13" ht="15.75" x14ac:dyDescent="0.3">
      <c r="A38" s="2">
        <v>45287</v>
      </c>
      <c r="B38" s="1">
        <v>23540750</v>
      </c>
      <c r="C38" s="1">
        <v>0</v>
      </c>
      <c r="D38" s="3">
        <f t="shared" si="6"/>
        <v>23540750</v>
      </c>
      <c r="E38" s="1">
        <v>1693339.1791989999</v>
      </c>
      <c r="F38" s="1">
        <v>0</v>
      </c>
      <c r="G38" s="1"/>
      <c r="H38">
        <f t="shared" si="1"/>
        <v>12</v>
      </c>
      <c r="I38" t="str">
        <f t="shared" si="2"/>
        <v/>
      </c>
      <c r="J38" t="str">
        <f t="shared" si="3"/>
        <v/>
      </c>
      <c r="K38" t="str">
        <f t="shared" si="4"/>
        <v/>
      </c>
      <c r="L38" t="str">
        <f t="shared" si="4"/>
        <v/>
      </c>
      <c r="M38" t="b">
        <f t="shared" si="5"/>
        <v>0</v>
      </c>
    </row>
    <row r="39" spans="1:13" ht="15.75" x14ac:dyDescent="0.3">
      <c r="A39" s="2">
        <v>45288</v>
      </c>
      <c r="B39" s="1">
        <v>24180675</v>
      </c>
      <c r="C39" s="1">
        <v>0</v>
      </c>
      <c r="D39" s="3">
        <f t="shared" si="6"/>
        <v>24180675</v>
      </c>
      <c r="E39" s="1">
        <v>1636551.138089</v>
      </c>
      <c r="F39" s="1">
        <v>0</v>
      </c>
      <c r="G39" s="1"/>
      <c r="H39">
        <f t="shared" si="1"/>
        <v>12</v>
      </c>
      <c r="I39" t="str">
        <f t="shared" si="2"/>
        <v/>
      </c>
      <c r="J39" t="str">
        <f t="shared" si="3"/>
        <v/>
      </c>
      <c r="K39" t="str">
        <f t="shared" si="4"/>
        <v/>
      </c>
      <c r="L39" t="str">
        <f t="shared" si="4"/>
        <v/>
      </c>
      <c r="M39" t="b">
        <f t="shared" si="5"/>
        <v>0</v>
      </c>
    </row>
    <row r="40" spans="1:13" ht="15.75" x14ac:dyDescent="0.3">
      <c r="A40" s="2">
        <v>45289</v>
      </c>
      <c r="B40" s="1">
        <v>24150281</v>
      </c>
      <c r="C40" s="1">
        <v>0</v>
      </c>
      <c r="D40" s="3">
        <f t="shared" si="6"/>
        <v>24150281</v>
      </c>
      <c r="E40" s="1">
        <v>1636551.138089</v>
      </c>
      <c r="F40" s="1">
        <v>0</v>
      </c>
      <c r="G40" s="1"/>
      <c r="H40">
        <f t="shared" si="1"/>
        <v>12</v>
      </c>
      <c r="I40">
        <f t="shared" si="2"/>
        <v>24150281</v>
      </c>
      <c r="J40">
        <f t="shared" si="3"/>
        <v>1636551.138089</v>
      </c>
      <c r="K40">
        <f t="shared" si="4"/>
        <v>0</v>
      </c>
      <c r="L40">
        <f t="shared" si="4"/>
        <v>0</v>
      </c>
      <c r="M40" t="b">
        <f t="shared" si="5"/>
        <v>1</v>
      </c>
    </row>
    <row r="41" spans="1:13" ht="15.75" x14ac:dyDescent="0.3">
      <c r="A41" s="2">
        <v>45293</v>
      </c>
      <c r="B41" s="1">
        <v>24584296</v>
      </c>
      <c r="C41" s="1">
        <v>0</v>
      </c>
      <c r="D41" s="3">
        <f t="shared" si="6"/>
        <v>24584296</v>
      </c>
      <c r="E41" s="1">
        <v>1607903.138089</v>
      </c>
      <c r="F41" s="1">
        <v>0</v>
      </c>
      <c r="G41" s="1"/>
      <c r="H41">
        <f t="shared" si="1"/>
        <v>1</v>
      </c>
      <c r="I41" t="str">
        <f t="shared" si="2"/>
        <v/>
      </c>
      <c r="J41" t="str">
        <f t="shared" si="3"/>
        <v/>
      </c>
      <c r="K41" t="str">
        <f t="shared" si="4"/>
        <v/>
      </c>
      <c r="L41" t="str">
        <f t="shared" si="4"/>
        <v/>
      </c>
      <c r="M41" t="b">
        <f t="shared" si="5"/>
        <v>0</v>
      </c>
    </row>
    <row r="42" spans="1:13" ht="15.75" x14ac:dyDescent="0.3">
      <c r="A42" s="2">
        <v>45294</v>
      </c>
      <c r="B42" s="1">
        <v>24892552</v>
      </c>
      <c r="C42" s="1">
        <v>0</v>
      </c>
      <c r="D42" s="3">
        <f t="shared" si="6"/>
        <v>24892552</v>
      </c>
      <c r="E42" s="1">
        <v>1604878.138089</v>
      </c>
      <c r="F42" s="1">
        <v>0</v>
      </c>
      <c r="G42" s="1"/>
      <c r="H42">
        <f t="shared" si="1"/>
        <v>1</v>
      </c>
      <c r="I42" t="str">
        <f t="shared" si="2"/>
        <v/>
      </c>
      <c r="J42" t="str">
        <f t="shared" si="3"/>
        <v/>
      </c>
      <c r="K42" t="str">
        <f t="shared" si="4"/>
        <v/>
      </c>
      <c r="L42" t="str">
        <f t="shared" si="4"/>
        <v/>
      </c>
      <c r="M42" t="b">
        <f t="shared" si="5"/>
        <v>0</v>
      </c>
    </row>
    <row r="43" spans="1:13" ht="15.75" x14ac:dyDescent="0.3">
      <c r="A43" s="2">
        <v>45295</v>
      </c>
      <c r="B43" s="1">
        <v>25213924</v>
      </c>
      <c r="C43" s="1">
        <v>0</v>
      </c>
      <c r="D43" s="3">
        <f t="shared" si="6"/>
        <v>25213924</v>
      </c>
      <c r="E43" s="1">
        <v>1587928.138089</v>
      </c>
      <c r="F43" s="1">
        <v>0</v>
      </c>
      <c r="G43" s="1"/>
      <c r="H43">
        <f t="shared" si="1"/>
        <v>1</v>
      </c>
      <c r="I43" t="str">
        <f t="shared" si="2"/>
        <v/>
      </c>
      <c r="J43" t="str">
        <f t="shared" si="3"/>
        <v/>
      </c>
      <c r="K43" t="str">
        <f t="shared" si="4"/>
        <v/>
      </c>
      <c r="L43" t="str">
        <f t="shared" si="4"/>
        <v/>
      </c>
      <c r="M43" t="b">
        <f t="shared" si="5"/>
        <v>0</v>
      </c>
    </row>
    <row r="44" spans="1:13" ht="15.75" x14ac:dyDescent="0.3">
      <c r="A44" s="2">
        <v>45296</v>
      </c>
      <c r="B44" s="1">
        <v>25369375</v>
      </c>
      <c r="C44" s="1">
        <v>0</v>
      </c>
      <c r="D44" s="3">
        <f t="shared" si="6"/>
        <v>25369375</v>
      </c>
      <c r="E44" s="1">
        <v>1587928.138089</v>
      </c>
      <c r="F44" s="1">
        <v>0</v>
      </c>
      <c r="G44" s="1"/>
      <c r="H44">
        <f t="shared" si="1"/>
        <v>1</v>
      </c>
      <c r="I44" t="str">
        <f t="shared" si="2"/>
        <v/>
      </c>
      <c r="J44" t="str">
        <f t="shared" si="3"/>
        <v/>
      </c>
      <c r="K44" t="str">
        <f t="shared" si="4"/>
        <v/>
      </c>
      <c r="L44" t="str">
        <f t="shared" si="4"/>
        <v/>
      </c>
      <c r="M44" t="b">
        <f t="shared" si="5"/>
        <v>0</v>
      </c>
    </row>
    <row r="45" spans="1:13" ht="15.75" x14ac:dyDescent="0.3">
      <c r="A45" s="2">
        <v>45299</v>
      </c>
      <c r="B45" s="1">
        <v>25478144</v>
      </c>
      <c r="C45" s="1">
        <v>0</v>
      </c>
      <c r="D45" s="3">
        <f t="shared" si="6"/>
        <v>25478144</v>
      </c>
      <c r="E45" s="1">
        <v>1587928.138089</v>
      </c>
      <c r="F45" s="1">
        <v>0</v>
      </c>
      <c r="G45" s="1"/>
      <c r="H45">
        <f t="shared" si="1"/>
        <v>1</v>
      </c>
      <c r="I45" t="str">
        <f t="shared" si="2"/>
        <v/>
      </c>
      <c r="J45" t="str">
        <f t="shared" si="3"/>
        <v/>
      </c>
      <c r="K45" t="str">
        <f t="shared" si="4"/>
        <v/>
      </c>
      <c r="L45" t="str">
        <f t="shared" si="4"/>
        <v/>
      </c>
      <c r="M45" t="b">
        <f t="shared" si="5"/>
        <v>0</v>
      </c>
    </row>
    <row r="46" spans="1:13" ht="15.75" x14ac:dyDescent="0.3">
      <c r="A46" s="2">
        <v>45300</v>
      </c>
      <c r="B46" s="1">
        <v>25942877</v>
      </c>
      <c r="C46" s="1">
        <v>0</v>
      </c>
      <c r="D46" s="3">
        <f t="shared" si="6"/>
        <v>25942877</v>
      </c>
      <c r="E46" s="1">
        <v>1045763.135348</v>
      </c>
      <c r="F46" s="1">
        <v>0</v>
      </c>
      <c r="G46" s="1"/>
      <c r="H46">
        <f t="shared" si="1"/>
        <v>1</v>
      </c>
      <c r="I46" t="str">
        <f t="shared" si="2"/>
        <v/>
      </c>
      <c r="J46" t="str">
        <f t="shared" si="3"/>
        <v/>
      </c>
      <c r="K46" t="str">
        <f t="shared" si="4"/>
        <v/>
      </c>
      <c r="L46" t="str">
        <f t="shared" si="4"/>
        <v/>
      </c>
      <c r="M46" t="b">
        <f t="shared" si="5"/>
        <v>0</v>
      </c>
    </row>
    <row r="47" spans="1:13" ht="15.75" x14ac:dyDescent="0.3">
      <c r="A47" s="2">
        <v>45301</v>
      </c>
      <c r="B47" s="1">
        <v>26153046</v>
      </c>
      <c r="C47" s="1">
        <v>0</v>
      </c>
      <c r="D47" s="3">
        <f t="shared" si="6"/>
        <v>26153046</v>
      </c>
      <c r="E47" s="1">
        <v>1043238.135348</v>
      </c>
      <c r="F47" s="1">
        <v>0</v>
      </c>
      <c r="G47" s="1"/>
      <c r="H47">
        <f t="shared" si="1"/>
        <v>1</v>
      </c>
      <c r="I47" t="str">
        <f t="shared" si="2"/>
        <v/>
      </c>
      <c r="J47" t="str">
        <f t="shared" si="3"/>
        <v/>
      </c>
      <c r="K47" t="str">
        <f t="shared" si="4"/>
        <v/>
      </c>
      <c r="L47" t="str">
        <f t="shared" si="4"/>
        <v/>
      </c>
      <c r="M47" t="b">
        <f t="shared" si="5"/>
        <v>0</v>
      </c>
    </row>
    <row r="48" spans="1:13" ht="15.75" x14ac:dyDescent="0.3">
      <c r="A48" s="2">
        <v>45302</v>
      </c>
      <c r="B48" s="1">
        <v>27386919</v>
      </c>
      <c r="C48" s="1">
        <v>0</v>
      </c>
      <c r="D48" s="3">
        <f t="shared" si="6"/>
        <v>27386919</v>
      </c>
      <c r="E48" s="1">
        <v>12820</v>
      </c>
      <c r="F48" s="1">
        <v>0</v>
      </c>
      <c r="G48" s="1"/>
      <c r="H48">
        <f t="shared" si="1"/>
        <v>1</v>
      </c>
      <c r="I48" t="str">
        <f t="shared" si="2"/>
        <v/>
      </c>
      <c r="J48" t="str">
        <f t="shared" si="3"/>
        <v/>
      </c>
      <c r="K48" t="str">
        <f t="shared" si="4"/>
        <v/>
      </c>
      <c r="L48" t="str">
        <f t="shared" si="4"/>
        <v/>
      </c>
      <c r="M48" t="b">
        <f t="shared" si="5"/>
        <v>0</v>
      </c>
    </row>
    <row r="49" spans="1:13" ht="15.75" x14ac:dyDescent="0.3">
      <c r="A49" s="2">
        <v>45303</v>
      </c>
      <c r="B49" s="1">
        <v>27720852</v>
      </c>
      <c r="C49" s="1">
        <v>0</v>
      </c>
      <c r="D49" s="3">
        <f t="shared" si="6"/>
        <v>27720852</v>
      </c>
      <c r="E49" s="1">
        <v>12820</v>
      </c>
      <c r="F49" s="1">
        <v>0</v>
      </c>
      <c r="G49" s="1"/>
      <c r="H49">
        <f t="shared" si="1"/>
        <v>1</v>
      </c>
      <c r="I49" t="str">
        <f t="shared" si="2"/>
        <v/>
      </c>
      <c r="J49" t="str">
        <f t="shared" si="3"/>
        <v/>
      </c>
      <c r="K49" t="str">
        <f t="shared" si="4"/>
        <v/>
      </c>
      <c r="L49" t="str">
        <f t="shared" si="4"/>
        <v/>
      </c>
      <c r="M49" t="b">
        <f t="shared" si="5"/>
        <v>0</v>
      </c>
    </row>
    <row r="50" spans="1:13" ht="15.75" x14ac:dyDescent="0.3">
      <c r="A50" s="2">
        <v>45306</v>
      </c>
      <c r="B50" s="1">
        <v>27933004</v>
      </c>
      <c r="C50" s="1">
        <v>0</v>
      </c>
      <c r="D50" s="3">
        <f t="shared" si="6"/>
        <v>27933004</v>
      </c>
      <c r="E50" s="1">
        <v>12820</v>
      </c>
      <c r="F50" s="1">
        <v>0</v>
      </c>
      <c r="G50" s="1"/>
      <c r="H50">
        <f t="shared" si="1"/>
        <v>1</v>
      </c>
      <c r="I50" t="str">
        <f t="shared" si="2"/>
        <v/>
      </c>
      <c r="J50" t="str">
        <f t="shared" si="3"/>
        <v/>
      </c>
      <c r="K50" t="str">
        <f t="shared" si="4"/>
        <v/>
      </c>
      <c r="L50" t="str">
        <f t="shared" si="4"/>
        <v/>
      </c>
      <c r="M50" t="b">
        <f t="shared" si="5"/>
        <v>0</v>
      </c>
    </row>
    <row r="51" spans="1:13" ht="15.75" x14ac:dyDescent="0.3">
      <c r="A51" s="2">
        <v>45307</v>
      </c>
      <c r="B51" s="1">
        <v>28234872</v>
      </c>
      <c r="C51" s="1">
        <v>0</v>
      </c>
      <c r="D51" s="3">
        <f t="shared" si="6"/>
        <v>28234872</v>
      </c>
      <c r="E51" s="1">
        <v>12820</v>
      </c>
      <c r="F51" s="1">
        <v>0</v>
      </c>
      <c r="G51" s="1"/>
      <c r="H51">
        <f t="shared" si="1"/>
        <v>1</v>
      </c>
      <c r="I51" t="str">
        <f t="shared" si="2"/>
        <v/>
      </c>
      <c r="J51" t="str">
        <f t="shared" si="3"/>
        <v/>
      </c>
      <c r="K51" t="str">
        <f t="shared" si="4"/>
        <v/>
      </c>
      <c r="L51" t="str">
        <f t="shared" si="4"/>
        <v/>
      </c>
      <c r="M51" t="b">
        <f t="shared" si="5"/>
        <v>0</v>
      </c>
    </row>
    <row r="52" spans="1:13" ht="15.75" x14ac:dyDescent="0.3">
      <c r="A52" s="2">
        <v>45308</v>
      </c>
      <c r="B52" s="1">
        <v>28214198</v>
      </c>
      <c r="C52" s="1">
        <v>0</v>
      </c>
      <c r="D52" s="3">
        <f t="shared" si="6"/>
        <v>28214198</v>
      </c>
      <c r="E52" s="1">
        <v>10075</v>
      </c>
      <c r="F52" s="1">
        <v>0</v>
      </c>
      <c r="G52" s="1"/>
      <c r="H52">
        <f t="shared" si="1"/>
        <v>1</v>
      </c>
      <c r="I52" t="str">
        <f t="shared" si="2"/>
        <v/>
      </c>
      <c r="J52" t="str">
        <f t="shared" si="3"/>
        <v/>
      </c>
      <c r="K52" t="str">
        <f t="shared" si="4"/>
        <v/>
      </c>
      <c r="L52" t="str">
        <f t="shared" si="4"/>
        <v/>
      </c>
      <c r="M52" t="b">
        <f t="shared" si="5"/>
        <v>0</v>
      </c>
    </row>
    <row r="53" spans="1:13" ht="15.75" x14ac:dyDescent="0.3">
      <c r="A53" s="2">
        <v>45309</v>
      </c>
      <c r="B53" s="1">
        <v>26767264</v>
      </c>
      <c r="C53" s="1">
        <v>0</v>
      </c>
      <c r="D53" s="3">
        <f t="shared" si="6"/>
        <v>26767264</v>
      </c>
      <c r="E53" s="1">
        <v>10075</v>
      </c>
      <c r="F53" s="1">
        <v>0</v>
      </c>
      <c r="G53" s="1"/>
      <c r="H53">
        <f t="shared" si="1"/>
        <v>1</v>
      </c>
      <c r="I53" t="str">
        <f t="shared" si="2"/>
        <v/>
      </c>
      <c r="J53" t="str">
        <f t="shared" si="3"/>
        <v/>
      </c>
      <c r="K53" t="str">
        <f t="shared" si="4"/>
        <v/>
      </c>
      <c r="L53" t="str">
        <f t="shared" si="4"/>
        <v/>
      </c>
      <c r="M53" t="b">
        <f t="shared" si="5"/>
        <v>0</v>
      </c>
    </row>
    <row r="54" spans="1:13" ht="15.75" x14ac:dyDescent="0.3">
      <c r="A54" s="2">
        <v>45310</v>
      </c>
      <c r="B54" s="1">
        <v>26889237</v>
      </c>
      <c r="C54" s="1">
        <v>0</v>
      </c>
      <c r="D54" s="3">
        <f t="shared" si="6"/>
        <v>26889237</v>
      </c>
      <c r="E54" s="1">
        <v>10075</v>
      </c>
      <c r="F54" s="1">
        <v>0</v>
      </c>
      <c r="G54" s="1"/>
      <c r="H54">
        <f t="shared" si="1"/>
        <v>1</v>
      </c>
      <c r="I54" t="str">
        <f t="shared" si="2"/>
        <v/>
      </c>
      <c r="J54" t="str">
        <f t="shared" si="3"/>
        <v/>
      </c>
      <c r="K54" t="str">
        <f t="shared" si="4"/>
        <v/>
      </c>
      <c r="L54" t="str">
        <f t="shared" si="4"/>
        <v/>
      </c>
      <c r="M54" t="b">
        <f t="shared" si="5"/>
        <v>0</v>
      </c>
    </row>
    <row r="55" spans="1:13" ht="15.75" x14ac:dyDescent="0.3">
      <c r="A55" s="2">
        <v>45313</v>
      </c>
      <c r="B55" s="1">
        <v>27406512</v>
      </c>
      <c r="C55" s="1">
        <v>0</v>
      </c>
      <c r="D55" s="3">
        <f t="shared" si="6"/>
        <v>27406512</v>
      </c>
      <c r="E55" s="1">
        <v>10075</v>
      </c>
      <c r="F55" s="1">
        <v>0</v>
      </c>
      <c r="G55" s="1"/>
      <c r="H55">
        <f t="shared" si="1"/>
        <v>1</v>
      </c>
      <c r="I55" t="str">
        <f t="shared" si="2"/>
        <v/>
      </c>
      <c r="J55" t="str">
        <f t="shared" si="3"/>
        <v/>
      </c>
      <c r="K55" t="str">
        <f t="shared" si="4"/>
        <v/>
      </c>
      <c r="L55" t="str">
        <f t="shared" si="4"/>
        <v/>
      </c>
      <c r="M55" t="b">
        <f t="shared" si="5"/>
        <v>0</v>
      </c>
    </row>
    <row r="56" spans="1:13" ht="15.75" x14ac:dyDescent="0.3">
      <c r="A56" s="2">
        <v>45314</v>
      </c>
      <c r="B56" s="1">
        <v>27601225</v>
      </c>
      <c r="C56" s="1">
        <v>0</v>
      </c>
      <c r="D56" s="3">
        <f t="shared" si="6"/>
        <v>27601225</v>
      </c>
      <c r="E56" s="1">
        <v>10075</v>
      </c>
      <c r="F56" s="1">
        <v>0</v>
      </c>
      <c r="G56" s="1"/>
      <c r="H56">
        <f t="shared" si="1"/>
        <v>1</v>
      </c>
      <c r="I56" t="str">
        <f t="shared" si="2"/>
        <v/>
      </c>
      <c r="J56" t="str">
        <f t="shared" si="3"/>
        <v/>
      </c>
      <c r="K56" t="str">
        <f t="shared" si="4"/>
        <v/>
      </c>
      <c r="L56" t="str">
        <f t="shared" si="4"/>
        <v/>
      </c>
      <c r="M56" t="b">
        <f t="shared" si="5"/>
        <v>0</v>
      </c>
    </row>
    <row r="57" spans="1:13" ht="15.75" x14ac:dyDescent="0.3">
      <c r="A57" s="2">
        <v>45315</v>
      </c>
      <c r="B57" s="1">
        <v>27915981</v>
      </c>
      <c r="C57" s="1">
        <v>0</v>
      </c>
      <c r="D57" s="3">
        <f t="shared" si="6"/>
        <v>27915981</v>
      </c>
      <c r="E57" s="1">
        <v>5525</v>
      </c>
      <c r="F57" s="1">
        <v>0</v>
      </c>
      <c r="G57" s="1"/>
      <c r="H57">
        <f t="shared" si="1"/>
        <v>1</v>
      </c>
      <c r="I57" t="str">
        <f t="shared" si="2"/>
        <v/>
      </c>
      <c r="J57" t="str">
        <f t="shared" si="3"/>
        <v/>
      </c>
      <c r="K57" t="str">
        <f t="shared" si="4"/>
        <v/>
      </c>
      <c r="L57" t="str">
        <f t="shared" si="4"/>
        <v/>
      </c>
      <c r="M57" t="b">
        <f t="shared" si="5"/>
        <v>0</v>
      </c>
    </row>
    <row r="58" spans="1:13" ht="15.75" x14ac:dyDescent="0.3">
      <c r="A58" s="2">
        <v>45316</v>
      </c>
      <c r="B58" s="1">
        <v>28331453</v>
      </c>
      <c r="C58" s="1">
        <v>0</v>
      </c>
      <c r="D58" s="3">
        <f t="shared" si="6"/>
        <v>28331453</v>
      </c>
      <c r="E58" s="1">
        <v>5525</v>
      </c>
      <c r="F58" s="1">
        <v>0</v>
      </c>
      <c r="G58" s="1"/>
      <c r="H58">
        <f t="shared" si="1"/>
        <v>1</v>
      </c>
      <c r="I58" t="str">
        <f t="shared" si="2"/>
        <v/>
      </c>
      <c r="J58" t="str">
        <f t="shared" si="3"/>
        <v/>
      </c>
      <c r="K58" t="str">
        <f t="shared" si="4"/>
        <v/>
      </c>
      <c r="L58" t="str">
        <f t="shared" si="4"/>
        <v/>
      </c>
      <c r="M58" t="b">
        <f t="shared" si="5"/>
        <v>0</v>
      </c>
    </row>
    <row r="59" spans="1:13" ht="15.75" x14ac:dyDescent="0.3">
      <c r="A59" s="2">
        <v>45317</v>
      </c>
      <c r="B59" s="1">
        <v>28263540</v>
      </c>
      <c r="C59" s="1">
        <v>0</v>
      </c>
      <c r="D59" s="3">
        <f t="shared" si="6"/>
        <v>28263540</v>
      </c>
      <c r="E59" s="1">
        <v>5525</v>
      </c>
      <c r="F59" s="1">
        <v>0</v>
      </c>
      <c r="G59" s="1"/>
      <c r="H59">
        <f t="shared" si="1"/>
        <v>1</v>
      </c>
      <c r="I59" t="str">
        <f t="shared" si="2"/>
        <v/>
      </c>
      <c r="J59" t="str">
        <f t="shared" si="3"/>
        <v/>
      </c>
      <c r="K59" t="str">
        <f t="shared" si="4"/>
        <v/>
      </c>
      <c r="L59" t="str">
        <f t="shared" si="4"/>
        <v/>
      </c>
      <c r="M59" t="b">
        <f t="shared" si="5"/>
        <v>0</v>
      </c>
    </row>
    <row r="60" spans="1:13" ht="15.75" x14ac:dyDescent="0.3">
      <c r="A60" s="2">
        <v>45320</v>
      </c>
      <c r="B60" s="1">
        <v>28880323</v>
      </c>
      <c r="C60" s="1">
        <v>0</v>
      </c>
      <c r="D60" s="3">
        <f t="shared" si="6"/>
        <v>28880323</v>
      </c>
      <c r="E60" s="1">
        <v>5525</v>
      </c>
      <c r="F60" s="1">
        <v>0</v>
      </c>
      <c r="G60" s="1"/>
      <c r="H60">
        <f t="shared" si="1"/>
        <v>1</v>
      </c>
      <c r="I60" t="str">
        <f t="shared" si="2"/>
        <v/>
      </c>
      <c r="J60" t="str">
        <f t="shared" si="3"/>
        <v/>
      </c>
      <c r="K60" t="str">
        <f t="shared" si="4"/>
        <v/>
      </c>
      <c r="L60" t="str">
        <f t="shared" si="4"/>
        <v/>
      </c>
      <c r="M60" t="b">
        <f t="shared" si="5"/>
        <v>0</v>
      </c>
    </row>
    <row r="61" spans="1:13" ht="15.75" x14ac:dyDescent="0.3">
      <c r="A61" s="2">
        <v>45321</v>
      </c>
      <c r="B61" s="1">
        <v>29730202</v>
      </c>
      <c r="C61" s="1">
        <v>0</v>
      </c>
      <c r="D61" s="3">
        <f t="shared" si="6"/>
        <v>29730202</v>
      </c>
      <c r="E61" s="1">
        <v>5525</v>
      </c>
      <c r="F61" s="1">
        <v>0</v>
      </c>
      <c r="G61" s="1"/>
      <c r="H61">
        <f t="shared" si="1"/>
        <v>1</v>
      </c>
      <c r="I61" t="str">
        <f t="shared" si="2"/>
        <v/>
      </c>
      <c r="J61" t="str">
        <f t="shared" si="3"/>
        <v/>
      </c>
      <c r="K61" t="str">
        <f t="shared" si="4"/>
        <v/>
      </c>
      <c r="L61" t="str">
        <f t="shared" si="4"/>
        <v/>
      </c>
      <c r="M61" t="b">
        <f t="shared" si="5"/>
        <v>0</v>
      </c>
    </row>
    <row r="62" spans="1:13" ht="15.75" x14ac:dyDescent="0.3">
      <c r="A62" s="2">
        <v>45322</v>
      </c>
      <c r="B62" s="1">
        <v>29875001</v>
      </c>
      <c r="C62" s="1">
        <v>0</v>
      </c>
      <c r="D62" s="3">
        <f t="shared" si="6"/>
        <v>29875001</v>
      </c>
      <c r="E62" s="1">
        <v>5150</v>
      </c>
      <c r="F62" s="1">
        <v>0</v>
      </c>
      <c r="G62" s="1"/>
      <c r="H62">
        <f t="shared" si="1"/>
        <v>1</v>
      </c>
      <c r="I62">
        <f t="shared" si="2"/>
        <v>29875001</v>
      </c>
      <c r="J62">
        <f t="shared" si="3"/>
        <v>5150</v>
      </c>
      <c r="K62">
        <f t="shared" si="4"/>
        <v>0</v>
      </c>
      <c r="L62">
        <f t="shared" si="4"/>
        <v>0</v>
      </c>
      <c r="M62" t="b">
        <f t="shared" si="5"/>
        <v>1</v>
      </c>
    </row>
    <row r="63" spans="1:13" ht="15.75" x14ac:dyDescent="0.3">
      <c r="A63" s="2">
        <v>45323</v>
      </c>
      <c r="B63" s="1">
        <v>27305547</v>
      </c>
      <c r="C63" s="1">
        <v>0</v>
      </c>
      <c r="D63" s="3">
        <f t="shared" si="6"/>
        <v>27305547</v>
      </c>
      <c r="E63" s="1">
        <v>5150</v>
      </c>
      <c r="F63" s="1">
        <v>0</v>
      </c>
      <c r="G63" s="1"/>
      <c r="H63">
        <f t="shared" si="1"/>
        <v>2</v>
      </c>
      <c r="I63" t="str">
        <f t="shared" si="2"/>
        <v/>
      </c>
      <c r="J63" t="str">
        <f t="shared" si="3"/>
        <v/>
      </c>
      <c r="K63" t="str">
        <f t="shared" si="4"/>
        <v/>
      </c>
      <c r="L63" t="str">
        <f t="shared" si="4"/>
        <v/>
      </c>
      <c r="M63" t="b">
        <f t="shared" si="5"/>
        <v>0</v>
      </c>
    </row>
    <row r="64" spans="1:13" ht="15.75" x14ac:dyDescent="0.3">
      <c r="A64" s="2">
        <v>45324</v>
      </c>
      <c r="B64" s="1">
        <v>27332829</v>
      </c>
      <c r="C64" s="1">
        <v>0</v>
      </c>
      <c r="D64" s="3">
        <f t="shared" si="6"/>
        <v>27332829</v>
      </c>
      <c r="E64" s="1">
        <v>5150</v>
      </c>
      <c r="F64" s="1">
        <v>0</v>
      </c>
      <c r="G64" s="1"/>
      <c r="H64">
        <f t="shared" si="1"/>
        <v>2</v>
      </c>
      <c r="I64" t="str">
        <f t="shared" si="2"/>
        <v/>
      </c>
      <c r="J64" t="str">
        <f t="shared" si="3"/>
        <v/>
      </c>
      <c r="K64" t="str">
        <f t="shared" si="4"/>
        <v/>
      </c>
      <c r="L64" t="str">
        <f t="shared" si="4"/>
        <v/>
      </c>
      <c r="M64" t="b">
        <f t="shared" si="5"/>
        <v>0</v>
      </c>
    </row>
    <row r="65" spans="1:13" ht="15.75" x14ac:dyDescent="0.3">
      <c r="A65" s="2">
        <v>45327</v>
      </c>
      <c r="B65" s="1">
        <v>27910535</v>
      </c>
      <c r="C65" s="1">
        <v>0</v>
      </c>
      <c r="D65" s="3">
        <f t="shared" si="6"/>
        <v>27910535</v>
      </c>
      <c r="E65" s="1">
        <v>5150</v>
      </c>
      <c r="F65" s="1">
        <v>0</v>
      </c>
      <c r="G65" s="1"/>
      <c r="H65">
        <f t="shared" si="1"/>
        <v>2</v>
      </c>
      <c r="I65" t="str">
        <f t="shared" si="2"/>
        <v/>
      </c>
      <c r="J65" t="str">
        <f t="shared" si="3"/>
        <v/>
      </c>
      <c r="K65" t="str">
        <f t="shared" si="4"/>
        <v/>
      </c>
      <c r="L65" t="str">
        <f t="shared" si="4"/>
        <v/>
      </c>
      <c r="M65" t="b">
        <f t="shared" si="5"/>
        <v>0</v>
      </c>
    </row>
    <row r="66" spans="1:13" ht="15.75" x14ac:dyDescent="0.3">
      <c r="A66" s="2">
        <v>45328</v>
      </c>
      <c r="B66" s="1">
        <v>28241767</v>
      </c>
      <c r="C66" s="1">
        <v>0</v>
      </c>
      <c r="D66" s="3">
        <f t="shared" si="6"/>
        <v>28241767</v>
      </c>
      <c r="E66" s="1">
        <v>5150</v>
      </c>
      <c r="F66" s="1">
        <v>0</v>
      </c>
      <c r="G66" s="1"/>
      <c r="H66">
        <f t="shared" si="1"/>
        <v>2</v>
      </c>
      <c r="I66" t="str">
        <f t="shared" si="2"/>
        <v/>
      </c>
      <c r="J66" t="str">
        <f t="shared" si="3"/>
        <v/>
      </c>
      <c r="K66" t="str">
        <f t="shared" si="4"/>
        <v/>
      </c>
      <c r="L66" t="str">
        <f t="shared" si="4"/>
        <v/>
      </c>
      <c r="M66" t="b">
        <f t="shared" si="5"/>
        <v>0</v>
      </c>
    </row>
    <row r="67" spans="1:13" ht="15.75" x14ac:dyDescent="0.3">
      <c r="A67" s="2">
        <v>45329</v>
      </c>
      <c r="B67" s="1">
        <v>27614566</v>
      </c>
      <c r="C67" s="1">
        <v>0</v>
      </c>
      <c r="D67" s="3">
        <f t="shared" si="6"/>
        <v>27614566</v>
      </c>
      <c r="E67" s="1">
        <v>4375</v>
      </c>
      <c r="F67" s="1">
        <v>0</v>
      </c>
      <c r="G67" s="1"/>
      <c r="H67">
        <f t="shared" ref="H67:H130" si="7">+MONTH(A67)</f>
        <v>2</v>
      </c>
      <c r="I67" t="str">
        <f t="shared" ref="I67:I130" si="8">+IF($H67&lt;&gt;$H68,D67,"")</f>
        <v/>
      </c>
      <c r="J67" t="str">
        <f t="shared" ref="J67:J130" si="9">+IF($H67&lt;&gt;$H68,E67,"")</f>
        <v/>
      </c>
      <c r="K67" t="str">
        <f t="shared" ref="K67:L130" si="10">+IF($H67&lt;&gt;$H68,F67,"")</f>
        <v/>
      </c>
      <c r="L67" t="str">
        <f t="shared" si="10"/>
        <v/>
      </c>
      <c r="M67" t="b">
        <f t="shared" ref="M67:M130" si="11">+$H67&lt;&gt;$H68</f>
        <v>0</v>
      </c>
    </row>
    <row r="68" spans="1:13" ht="15.75" x14ac:dyDescent="0.3">
      <c r="A68" s="2">
        <v>45330</v>
      </c>
      <c r="B68" s="1">
        <v>27730937</v>
      </c>
      <c r="C68" s="1">
        <v>0</v>
      </c>
      <c r="D68" s="3">
        <f t="shared" si="6"/>
        <v>27730937</v>
      </c>
      <c r="E68" s="1">
        <v>4375</v>
      </c>
      <c r="F68" s="1">
        <v>0</v>
      </c>
      <c r="G68" s="1"/>
      <c r="H68">
        <f t="shared" si="7"/>
        <v>2</v>
      </c>
      <c r="I68" t="str">
        <f t="shared" si="8"/>
        <v/>
      </c>
      <c r="J68" t="str">
        <f t="shared" si="9"/>
        <v/>
      </c>
      <c r="K68" t="str">
        <f t="shared" si="10"/>
        <v/>
      </c>
      <c r="L68" t="str">
        <f t="shared" si="10"/>
        <v/>
      </c>
      <c r="M68" t="b">
        <f t="shared" si="11"/>
        <v>0</v>
      </c>
    </row>
    <row r="69" spans="1:13" ht="15.75" x14ac:dyDescent="0.3">
      <c r="A69" s="2">
        <v>45331</v>
      </c>
      <c r="B69" s="1">
        <v>27854885</v>
      </c>
      <c r="C69" s="1">
        <v>0</v>
      </c>
      <c r="D69" s="3">
        <f t="shared" si="6"/>
        <v>27854885</v>
      </c>
      <c r="E69" s="1">
        <v>4375</v>
      </c>
      <c r="F69" s="1">
        <v>0</v>
      </c>
      <c r="G69" s="1"/>
      <c r="H69">
        <f t="shared" si="7"/>
        <v>2</v>
      </c>
      <c r="I69" t="str">
        <f t="shared" si="8"/>
        <v/>
      </c>
      <c r="J69" t="str">
        <f t="shared" si="9"/>
        <v/>
      </c>
      <c r="K69" t="str">
        <f t="shared" si="10"/>
        <v/>
      </c>
      <c r="L69" t="str">
        <f t="shared" si="10"/>
        <v/>
      </c>
      <c r="M69" t="b">
        <f t="shared" si="11"/>
        <v>0</v>
      </c>
    </row>
    <row r="70" spans="1:13" ht="15.75" x14ac:dyDescent="0.3">
      <c r="A70" s="2">
        <v>45336</v>
      </c>
      <c r="B70" s="1">
        <v>28747931</v>
      </c>
      <c r="C70" s="1">
        <v>0</v>
      </c>
      <c r="D70" s="3">
        <f t="shared" si="6"/>
        <v>28747931</v>
      </c>
      <c r="E70" s="1">
        <v>3100</v>
      </c>
      <c r="F70" s="1">
        <v>0</v>
      </c>
      <c r="G70" s="1"/>
      <c r="H70">
        <f t="shared" si="7"/>
        <v>2</v>
      </c>
      <c r="I70" t="str">
        <f t="shared" si="8"/>
        <v/>
      </c>
      <c r="J70" t="str">
        <f t="shared" si="9"/>
        <v/>
      </c>
      <c r="K70" t="str">
        <f t="shared" si="10"/>
        <v/>
      </c>
      <c r="L70" t="str">
        <f t="shared" si="10"/>
        <v/>
      </c>
      <c r="M70" t="b">
        <f t="shared" si="11"/>
        <v>0</v>
      </c>
    </row>
    <row r="71" spans="1:13" ht="15.75" x14ac:dyDescent="0.3">
      <c r="A71" s="2">
        <v>45337</v>
      </c>
      <c r="B71" s="1">
        <v>29107225</v>
      </c>
      <c r="C71" s="1">
        <v>0</v>
      </c>
      <c r="D71" s="3">
        <f t="shared" ref="D71:D134" si="12">+B71-C71</f>
        <v>29107225</v>
      </c>
      <c r="E71" s="1">
        <v>3100</v>
      </c>
      <c r="F71" s="1">
        <v>0</v>
      </c>
      <c r="G71" s="1"/>
      <c r="H71">
        <f t="shared" si="7"/>
        <v>2</v>
      </c>
      <c r="I71" t="str">
        <f t="shared" si="8"/>
        <v/>
      </c>
      <c r="J71" t="str">
        <f t="shared" si="9"/>
        <v/>
      </c>
      <c r="K71" t="str">
        <f t="shared" si="10"/>
        <v/>
      </c>
      <c r="L71" t="str">
        <f t="shared" si="10"/>
        <v/>
      </c>
      <c r="M71" t="b">
        <f t="shared" si="11"/>
        <v>0</v>
      </c>
    </row>
    <row r="72" spans="1:13" ht="15.75" x14ac:dyDescent="0.3">
      <c r="A72" s="2">
        <v>45338</v>
      </c>
      <c r="B72" s="1">
        <v>29232739</v>
      </c>
      <c r="C72" s="1">
        <v>0</v>
      </c>
      <c r="D72" s="3">
        <f t="shared" si="12"/>
        <v>29232739</v>
      </c>
      <c r="E72" s="1">
        <v>3100</v>
      </c>
      <c r="F72" s="1">
        <v>0</v>
      </c>
      <c r="G72" s="1"/>
      <c r="H72">
        <f t="shared" si="7"/>
        <v>2</v>
      </c>
      <c r="I72" t="str">
        <f t="shared" si="8"/>
        <v/>
      </c>
      <c r="J72" t="str">
        <f t="shared" si="9"/>
        <v/>
      </c>
      <c r="K72" t="str">
        <f t="shared" si="10"/>
        <v/>
      </c>
      <c r="L72" t="str">
        <f t="shared" si="10"/>
        <v/>
      </c>
      <c r="M72" t="b">
        <f t="shared" si="11"/>
        <v>0</v>
      </c>
    </row>
    <row r="73" spans="1:13" ht="15.75" x14ac:dyDescent="0.3">
      <c r="A73" s="2">
        <v>45341</v>
      </c>
      <c r="B73" s="1">
        <v>30132432</v>
      </c>
      <c r="C73" s="1">
        <v>0</v>
      </c>
      <c r="D73" s="3">
        <f t="shared" si="12"/>
        <v>30132432</v>
      </c>
      <c r="E73" s="1">
        <v>3100</v>
      </c>
      <c r="F73" s="1">
        <v>0</v>
      </c>
      <c r="G73" s="1"/>
      <c r="H73">
        <f t="shared" si="7"/>
        <v>2</v>
      </c>
      <c r="I73" t="str">
        <f t="shared" si="8"/>
        <v/>
      </c>
      <c r="J73" t="str">
        <f t="shared" si="9"/>
        <v/>
      </c>
      <c r="K73" t="str">
        <f t="shared" si="10"/>
        <v/>
      </c>
      <c r="L73" t="str">
        <f t="shared" si="10"/>
        <v/>
      </c>
      <c r="M73" t="b">
        <f t="shared" si="11"/>
        <v>0</v>
      </c>
    </row>
    <row r="74" spans="1:13" ht="15.75" x14ac:dyDescent="0.3">
      <c r="A74" s="2">
        <v>45342</v>
      </c>
      <c r="B74" s="1">
        <v>27989558</v>
      </c>
      <c r="C74" s="1">
        <v>0</v>
      </c>
      <c r="D74" s="3">
        <f t="shared" si="12"/>
        <v>27989558</v>
      </c>
      <c r="E74" s="1">
        <v>3100</v>
      </c>
      <c r="F74" s="1">
        <v>0</v>
      </c>
      <c r="G74" s="1"/>
      <c r="H74">
        <f t="shared" si="7"/>
        <v>2</v>
      </c>
      <c r="I74" t="str">
        <f t="shared" si="8"/>
        <v/>
      </c>
      <c r="J74" t="str">
        <f t="shared" si="9"/>
        <v/>
      </c>
      <c r="K74" t="str">
        <f t="shared" si="10"/>
        <v/>
      </c>
      <c r="L74" t="str">
        <f t="shared" si="10"/>
        <v/>
      </c>
      <c r="M74" t="b">
        <f t="shared" si="11"/>
        <v>0</v>
      </c>
    </row>
    <row r="75" spans="1:13" ht="15.75" x14ac:dyDescent="0.3">
      <c r="A75" s="2">
        <v>45343</v>
      </c>
      <c r="B75" s="1">
        <v>28427141</v>
      </c>
      <c r="C75" s="1">
        <v>0</v>
      </c>
      <c r="D75" s="3">
        <f t="shared" si="12"/>
        <v>28427141</v>
      </c>
      <c r="E75" s="1">
        <v>3050</v>
      </c>
      <c r="F75" s="1">
        <v>0</v>
      </c>
      <c r="G75" s="1"/>
      <c r="H75">
        <f t="shared" si="7"/>
        <v>2</v>
      </c>
      <c r="I75" t="str">
        <f t="shared" si="8"/>
        <v/>
      </c>
      <c r="J75" t="str">
        <f t="shared" si="9"/>
        <v/>
      </c>
      <c r="K75" t="str">
        <f t="shared" si="10"/>
        <v/>
      </c>
      <c r="L75" t="str">
        <f t="shared" si="10"/>
        <v/>
      </c>
      <c r="M75" t="b">
        <f t="shared" si="11"/>
        <v>0</v>
      </c>
    </row>
    <row r="76" spans="1:13" ht="15.75" x14ac:dyDescent="0.3">
      <c r="A76" s="2">
        <v>45344</v>
      </c>
      <c r="B76" s="1">
        <v>27788361</v>
      </c>
      <c r="C76" s="1">
        <v>0</v>
      </c>
      <c r="D76" s="3">
        <f t="shared" si="12"/>
        <v>27788361</v>
      </c>
      <c r="E76" s="1">
        <v>3050</v>
      </c>
      <c r="F76" s="1">
        <v>0</v>
      </c>
      <c r="G76" s="1"/>
      <c r="H76">
        <f t="shared" si="7"/>
        <v>2</v>
      </c>
      <c r="I76" t="str">
        <f t="shared" si="8"/>
        <v/>
      </c>
      <c r="J76" t="str">
        <f t="shared" si="9"/>
        <v/>
      </c>
      <c r="K76" t="str">
        <f t="shared" si="10"/>
        <v/>
      </c>
      <c r="L76" t="str">
        <f t="shared" si="10"/>
        <v/>
      </c>
      <c r="M76" t="b">
        <f t="shared" si="11"/>
        <v>0</v>
      </c>
    </row>
    <row r="77" spans="1:13" ht="15.75" x14ac:dyDescent="0.3">
      <c r="A77" s="2">
        <v>45345</v>
      </c>
      <c r="B77" s="1">
        <v>28111682</v>
      </c>
      <c r="C77" s="1">
        <v>0</v>
      </c>
      <c r="D77" s="3">
        <f t="shared" si="12"/>
        <v>28111682</v>
      </c>
      <c r="E77" s="1">
        <v>3050</v>
      </c>
      <c r="F77" s="1">
        <v>0</v>
      </c>
      <c r="G77" s="1"/>
      <c r="H77">
        <f t="shared" si="7"/>
        <v>2</v>
      </c>
      <c r="I77" t="str">
        <f t="shared" si="8"/>
        <v/>
      </c>
      <c r="J77" t="str">
        <f t="shared" si="9"/>
        <v/>
      </c>
      <c r="K77" t="str">
        <f t="shared" si="10"/>
        <v/>
      </c>
      <c r="L77" t="str">
        <f t="shared" si="10"/>
        <v/>
      </c>
      <c r="M77" t="b">
        <f t="shared" si="11"/>
        <v>0</v>
      </c>
    </row>
    <row r="78" spans="1:13" ht="15.75" x14ac:dyDescent="0.3">
      <c r="A78" s="2">
        <v>45348</v>
      </c>
      <c r="B78" s="1">
        <v>28221032</v>
      </c>
      <c r="C78" s="1">
        <v>0</v>
      </c>
      <c r="D78" s="3">
        <f t="shared" si="12"/>
        <v>28221032</v>
      </c>
      <c r="E78" s="1">
        <v>3050</v>
      </c>
      <c r="F78" s="1">
        <v>0</v>
      </c>
      <c r="G78" s="1"/>
      <c r="H78">
        <f t="shared" si="7"/>
        <v>2</v>
      </c>
      <c r="I78" t="str">
        <f t="shared" si="8"/>
        <v/>
      </c>
      <c r="J78" t="str">
        <f t="shared" si="9"/>
        <v/>
      </c>
      <c r="K78" t="str">
        <f t="shared" si="10"/>
        <v/>
      </c>
      <c r="L78" t="str">
        <f t="shared" si="10"/>
        <v/>
      </c>
      <c r="M78" t="b">
        <f t="shared" si="11"/>
        <v>0</v>
      </c>
    </row>
    <row r="79" spans="1:13" ht="15.75" x14ac:dyDescent="0.3">
      <c r="A79" s="2">
        <v>45349</v>
      </c>
      <c r="B79" s="1">
        <v>28697546</v>
      </c>
      <c r="C79" s="1">
        <v>0</v>
      </c>
      <c r="D79" s="3">
        <f t="shared" si="12"/>
        <v>28697546</v>
      </c>
      <c r="E79" s="1">
        <v>3050</v>
      </c>
      <c r="F79" s="1">
        <v>0</v>
      </c>
      <c r="G79" s="1"/>
      <c r="H79">
        <f t="shared" si="7"/>
        <v>2</v>
      </c>
      <c r="I79" t="str">
        <f t="shared" si="8"/>
        <v/>
      </c>
      <c r="J79" t="str">
        <f t="shared" si="9"/>
        <v/>
      </c>
      <c r="K79" t="str">
        <f t="shared" si="10"/>
        <v/>
      </c>
      <c r="L79" t="str">
        <f t="shared" si="10"/>
        <v/>
      </c>
      <c r="M79" t="b">
        <f t="shared" si="11"/>
        <v>0</v>
      </c>
    </row>
    <row r="80" spans="1:13" ht="15.75" x14ac:dyDescent="0.3">
      <c r="A80" s="2">
        <v>45350</v>
      </c>
      <c r="B80" s="1">
        <v>28652450</v>
      </c>
      <c r="C80" s="1">
        <v>0</v>
      </c>
      <c r="D80" s="3">
        <f t="shared" si="12"/>
        <v>28652450</v>
      </c>
      <c r="E80" s="1">
        <v>3000</v>
      </c>
      <c r="F80" s="1">
        <v>0</v>
      </c>
      <c r="G80" s="1"/>
      <c r="H80">
        <f t="shared" si="7"/>
        <v>2</v>
      </c>
      <c r="I80" t="str">
        <f t="shared" si="8"/>
        <v/>
      </c>
      <c r="J80" t="str">
        <f t="shared" si="9"/>
        <v/>
      </c>
      <c r="K80" t="str">
        <f t="shared" si="10"/>
        <v/>
      </c>
      <c r="L80" t="str">
        <f t="shared" si="10"/>
        <v/>
      </c>
      <c r="M80" t="b">
        <f t="shared" si="11"/>
        <v>0</v>
      </c>
    </row>
    <row r="81" spans="1:13" ht="15.75" x14ac:dyDescent="0.3">
      <c r="A81" s="2">
        <v>45351</v>
      </c>
      <c r="B81" s="1">
        <v>28046328</v>
      </c>
      <c r="C81" s="1">
        <v>0</v>
      </c>
      <c r="D81" s="3">
        <f t="shared" si="12"/>
        <v>28046328</v>
      </c>
      <c r="E81" s="1">
        <v>3000</v>
      </c>
      <c r="F81" s="1">
        <v>0</v>
      </c>
      <c r="G81" s="1"/>
      <c r="H81">
        <f t="shared" si="7"/>
        <v>2</v>
      </c>
      <c r="I81">
        <f t="shared" si="8"/>
        <v>28046328</v>
      </c>
      <c r="J81">
        <f t="shared" si="9"/>
        <v>3000</v>
      </c>
      <c r="K81">
        <f t="shared" si="10"/>
        <v>0</v>
      </c>
      <c r="L81">
        <f t="shared" si="10"/>
        <v>0</v>
      </c>
      <c r="M81" t="b">
        <f t="shared" si="11"/>
        <v>1</v>
      </c>
    </row>
    <row r="82" spans="1:13" ht="15.75" x14ac:dyDescent="0.3">
      <c r="A82" s="2">
        <v>45352</v>
      </c>
      <c r="B82" s="1">
        <v>27947704</v>
      </c>
      <c r="C82" s="1">
        <v>0</v>
      </c>
      <c r="D82" s="3">
        <f t="shared" si="12"/>
        <v>27947704</v>
      </c>
      <c r="E82" s="1">
        <v>3000</v>
      </c>
      <c r="F82" s="1">
        <v>0</v>
      </c>
      <c r="G82" s="1"/>
      <c r="H82">
        <f t="shared" si="7"/>
        <v>3</v>
      </c>
      <c r="I82" t="str">
        <f t="shared" si="8"/>
        <v/>
      </c>
      <c r="J82" t="str">
        <f t="shared" si="9"/>
        <v/>
      </c>
      <c r="K82" t="str">
        <f t="shared" si="10"/>
        <v/>
      </c>
      <c r="L82" t="str">
        <f t="shared" si="10"/>
        <v/>
      </c>
      <c r="M82" t="b">
        <f t="shared" si="11"/>
        <v>0</v>
      </c>
    </row>
    <row r="83" spans="1:13" ht="15.75" x14ac:dyDescent="0.3">
      <c r="A83" s="2">
        <v>45355</v>
      </c>
      <c r="B83" s="1">
        <v>28521790</v>
      </c>
      <c r="C83" s="1">
        <v>0</v>
      </c>
      <c r="D83" s="3">
        <f t="shared" si="12"/>
        <v>28521790</v>
      </c>
      <c r="E83" s="1">
        <v>3000</v>
      </c>
      <c r="F83" s="1">
        <v>0</v>
      </c>
      <c r="G83" s="1"/>
      <c r="H83">
        <f t="shared" si="7"/>
        <v>3</v>
      </c>
      <c r="I83" t="str">
        <f t="shared" si="8"/>
        <v/>
      </c>
      <c r="J83" t="str">
        <f t="shared" si="9"/>
        <v/>
      </c>
      <c r="K83" t="str">
        <f t="shared" si="10"/>
        <v/>
      </c>
      <c r="L83" t="str">
        <f t="shared" si="10"/>
        <v/>
      </c>
      <c r="M83" t="b">
        <f t="shared" si="11"/>
        <v>0</v>
      </c>
    </row>
    <row r="84" spans="1:13" ht="15.75" x14ac:dyDescent="0.3">
      <c r="A84" s="2">
        <v>45356</v>
      </c>
      <c r="B84" s="1">
        <v>28827683</v>
      </c>
      <c r="C84" s="1">
        <v>0</v>
      </c>
      <c r="D84" s="3">
        <f t="shared" si="12"/>
        <v>28827683</v>
      </c>
      <c r="E84" s="1">
        <v>3000</v>
      </c>
      <c r="F84" s="1">
        <v>0</v>
      </c>
      <c r="G84" s="1"/>
      <c r="H84">
        <f t="shared" si="7"/>
        <v>3</v>
      </c>
      <c r="I84" t="str">
        <f t="shared" si="8"/>
        <v/>
      </c>
      <c r="J84" t="str">
        <f t="shared" si="9"/>
        <v/>
      </c>
      <c r="K84" t="str">
        <f t="shared" si="10"/>
        <v/>
      </c>
      <c r="L84" t="str">
        <f t="shared" si="10"/>
        <v/>
      </c>
      <c r="M84" t="b">
        <f t="shared" si="11"/>
        <v>0</v>
      </c>
    </row>
    <row r="85" spans="1:13" ht="15.75" x14ac:dyDescent="0.3">
      <c r="A85" s="2">
        <v>45357</v>
      </c>
      <c r="B85" s="1">
        <v>29146021</v>
      </c>
      <c r="C85" s="1">
        <v>0</v>
      </c>
      <c r="D85" s="3">
        <f t="shared" si="12"/>
        <v>29146021</v>
      </c>
      <c r="E85" s="1">
        <v>3000</v>
      </c>
      <c r="F85" s="1">
        <v>0</v>
      </c>
      <c r="G85" s="1"/>
      <c r="H85">
        <f t="shared" si="7"/>
        <v>3</v>
      </c>
      <c r="I85" t="str">
        <f t="shared" si="8"/>
        <v/>
      </c>
      <c r="J85" t="str">
        <f t="shared" si="9"/>
        <v/>
      </c>
      <c r="K85" t="str">
        <f t="shared" si="10"/>
        <v/>
      </c>
      <c r="L85" t="str">
        <f t="shared" si="10"/>
        <v/>
      </c>
      <c r="M85" t="b">
        <f t="shared" si="11"/>
        <v>0</v>
      </c>
    </row>
    <row r="86" spans="1:13" ht="15.75" x14ac:dyDescent="0.3">
      <c r="A86" s="2">
        <v>45358</v>
      </c>
      <c r="B86" s="1">
        <v>28902871</v>
      </c>
      <c r="C86" s="1">
        <v>0</v>
      </c>
      <c r="D86" s="3">
        <f t="shared" si="12"/>
        <v>28902871</v>
      </c>
      <c r="E86" s="1">
        <v>3000</v>
      </c>
      <c r="F86" s="1">
        <v>0</v>
      </c>
      <c r="G86" s="1"/>
      <c r="H86">
        <f t="shared" si="7"/>
        <v>3</v>
      </c>
      <c r="I86" t="str">
        <f t="shared" si="8"/>
        <v/>
      </c>
      <c r="J86" t="str">
        <f t="shared" si="9"/>
        <v/>
      </c>
      <c r="K86" t="str">
        <f t="shared" si="10"/>
        <v/>
      </c>
      <c r="L86" t="str">
        <f t="shared" si="10"/>
        <v/>
      </c>
      <c r="M86" t="b">
        <f t="shared" si="11"/>
        <v>0</v>
      </c>
    </row>
    <row r="87" spans="1:13" ht="15.75" x14ac:dyDescent="0.3">
      <c r="A87" s="2">
        <v>45359</v>
      </c>
      <c r="B87" s="1">
        <v>29117444</v>
      </c>
      <c r="C87" s="1">
        <v>0</v>
      </c>
      <c r="D87" s="3">
        <f t="shared" si="12"/>
        <v>29117444</v>
      </c>
      <c r="E87" s="1">
        <v>3000</v>
      </c>
      <c r="F87" s="1">
        <v>0</v>
      </c>
      <c r="G87" s="1"/>
      <c r="H87">
        <f t="shared" si="7"/>
        <v>3</v>
      </c>
      <c r="I87" t="str">
        <f t="shared" si="8"/>
        <v/>
      </c>
      <c r="J87" t="str">
        <f t="shared" si="9"/>
        <v/>
      </c>
      <c r="K87" t="str">
        <f t="shared" si="10"/>
        <v/>
      </c>
      <c r="L87" t="str">
        <f t="shared" si="10"/>
        <v/>
      </c>
      <c r="M87" t="b">
        <f t="shared" si="11"/>
        <v>0</v>
      </c>
    </row>
    <row r="88" spans="1:13" ht="15.75" x14ac:dyDescent="0.3">
      <c r="A88" s="2">
        <v>45362</v>
      </c>
      <c r="B88" s="1">
        <v>29702232</v>
      </c>
      <c r="C88" s="1">
        <v>0</v>
      </c>
      <c r="D88" s="3">
        <f t="shared" si="12"/>
        <v>29702232</v>
      </c>
      <c r="E88" s="1">
        <v>3000</v>
      </c>
      <c r="F88" s="1">
        <v>0</v>
      </c>
      <c r="G88" s="1"/>
      <c r="H88">
        <f t="shared" si="7"/>
        <v>3</v>
      </c>
      <c r="I88" t="str">
        <f t="shared" si="8"/>
        <v/>
      </c>
      <c r="J88" t="str">
        <f t="shared" si="9"/>
        <v/>
      </c>
      <c r="K88" t="str">
        <f t="shared" si="10"/>
        <v/>
      </c>
      <c r="L88" t="str">
        <f t="shared" si="10"/>
        <v/>
      </c>
      <c r="M88" t="b">
        <f t="shared" si="11"/>
        <v>0</v>
      </c>
    </row>
    <row r="89" spans="1:13" ht="15.75" x14ac:dyDescent="0.3">
      <c r="A89" s="2">
        <v>45363</v>
      </c>
      <c r="B89" s="1">
        <v>29929026</v>
      </c>
      <c r="C89" s="1">
        <v>0</v>
      </c>
      <c r="D89" s="3">
        <f t="shared" si="12"/>
        <v>29929026</v>
      </c>
      <c r="E89" s="1">
        <v>3000</v>
      </c>
      <c r="F89" s="1">
        <v>0</v>
      </c>
      <c r="G89" s="1"/>
      <c r="H89">
        <f t="shared" si="7"/>
        <v>3</v>
      </c>
      <c r="I89" t="str">
        <f t="shared" si="8"/>
        <v/>
      </c>
      <c r="J89" t="str">
        <f t="shared" si="9"/>
        <v/>
      </c>
      <c r="K89" t="str">
        <f t="shared" si="10"/>
        <v/>
      </c>
      <c r="L89" t="str">
        <f t="shared" si="10"/>
        <v/>
      </c>
      <c r="M89" t="b">
        <f t="shared" si="11"/>
        <v>0</v>
      </c>
    </row>
    <row r="90" spans="1:13" ht="15.75" x14ac:dyDescent="0.3">
      <c r="A90" s="2">
        <v>45364</v>
      </c>
      <c r="B90" s="1">
        <v>30840501</v>
      </c>
      <c r="C90" s="1">
        <v>0</v>
      </c>
      <c r="D90" s="3">
        <f t="shared" si="12"/>
        <v>30840501</v>
      </c>
      <c r="E90" s="1">
        <v>0</v>
      </c>
      <c r="F90" s="1">
        <v>0</v>
      </c>
      <c r="G90" s="1"/>
      <c r="H90">
        <f t="shared" si="7"/>
        <v>3</v>
      </c>
      <c r="I90" t="str">
        <f t="shared" si="8"/>
        <v/>
      </c>
      <c r="J90" t="str">
        <f t="shared" si="9"/>
        <v/>
      </c>
      <c r="K90" t="str">
        <f t="shared" si="10"/>
        <v/>
      </c>
      <c r="L90" t="str">
        <f t="shared" si="10"/>
        <v/>
      </c>
      <c r="M90" t="b">
        <f t="shared" si="11"/>
        <v>0</v>
      </c>
    </row>
    <row r="91" spans="1:13" ht="15.75" x14ac:dyDescent="0.3">
      <c r="A91" s="2">
        <v>45365</v>
      </c>
      <c r="B91" s="1">
        <v>31120325</v>
      </c>
      <c r="C91" s="1">
        <v>0</v>
      </c>
      <c r="D91" s="3">
        <f t="shared" si="12"/>
        <v>31120325</v>
      </c>
      <c r="E91" s="1">
        <v>0</v>
      </c>
      <c r="F91" s="1">
        <v>0</v>
      </c>
      <c r="G91" s="1"/>
      <c r="H91">
        <f t="shared" si="7"/>
        <v>3</v>
      </c>
      <c r="I91" t="str">
        <f t="shared" si="8"/>
        <v/>
      </c>
      <c r="J91" t="str">
        <f t="shared" si="9"/>
        <v/>
      </c>
      <c r="K91" t="str">
        <f t="shared" si="10"/>
        <v/>
      </c>
      <c r="L91" t="str">
        <f t="shared" si="10"/>
        <v/>
      </c>
      <c r="M91" t="b">
        <f t="shared" si="11"/>
        <v>0</v>
      </c>
    </row>
    <row r="92" spans="1:13" ht="15.75" x14ac:dyDescent="0.3">
      <c r="A92" s="2">
        <v>45366</v>
      </c>
      <c r="B92" s="1">
        <v>31327155</v>
      </c>
      <c r="C92" s="1">
        <v>0</v>
      </c>
      <c r="D92" s="3">
        <f t="shared" si="12"/>
        <v>31327155</v>
      </c>
      <c r="E92" s="1">
        <v>0</v>
      </c>
      <c r="F92" s="1">
        <v>0</v>
      </c>
      <c r="G92" s="1"/>
      <c r="H92">
        <f t="shared" si="7"/>
        <v>3</v>
      </c>
      <c r="I92" t="str">
        <f t="shared" si="8"/>
        <v/>
      </c>
      <c r="J92" t="str">
        <f t="shared" si="9"/>
        <v/>
      </c>
      <c r="K92" t="str">
        <f t="shared" si="10"/>
        <v/>
      </c>
      <c r="L92" t="str">
        <f t="shared" si="10"/>
        <v/>
      </c>
      <c r="M92" t="b">
        <f t="shared" si="11"/>
        <v>0</v>
      </c>
    </row>
    <row r="93" spans="1:13" ht="15.75" x14ac:dyDescent="0.3">
      <c r="A93" s="2">
        <v>45369</v>
      </c>
      <c r="B93" s="1">
        <v>31540098</v>
      </c>
      <c r="C93" s="1">
        <v>0</v>
      </c>
      <c r="D93" s="3">
        <f t="shared" si="12"/>
        <v>31540098</v>
      </c>
      <c r="E93" s="1">
        <v>0</v>
      </c>
      <c r="F93" s="1">
        <v>0</v>
      </c>
      <c r="G93" s="1"/>
      <c r="H93">
        <f t="shared" si="7"/>
        <v>3</v>
      </c>
      <c r="I93" t="str">
        <f t="shared" si="8"/>
        <v/>
      </c>
      <c r="J93" t="str">
        <f t="shared" si="9"/>
        <v/>
      </c>
      <c r="K93" t="str">
        <f t="shared" si="10"/>
        <v/>
      </c>
      <c r="L93" t="str">
        <f t="shared" si="10"/>
        <v/>
      </c>
      <c r="M93" t="b">
        <f t="shared" si="11"/>
        <v>0</v>
      </c>
    </row>
    <row r="94" spans="1:13" ht="15.75" x14ac:dyDescent="0.3">
      <c r="A94" s="2">
        <v>45370</v>
      </c>
      <c r="B94" s="1">
        <v>31649725</v>
      </c>
      <c r="C94" s="1">
        <v>0</v>
      </c>
      <c r="D94" s="3">
        <f t="shared" si="12"/>
        <v>31649725</v>
      </c>
      <c r="E94" s="1">
        <v>0</v>
      </c>
      <c r="F94" s="1">
        <v>0</v>
      </c>
      <c r="G94" s="1"/>
      <c r="H94">
        <f t="shared" si="7"/>
        <v>3</v>
      </c>
      <c r="I94" t="str">
        <f t="shared" si="8"/>
        <v/>
      </c>
      <c r="J94" t="str">
        <f t="shared" si="9"/>
        <v/>
      </c>
      <c r="K94" t="str">
        <f t="shared" si="10"/>
        <v/>
      </c>
      <c r="L94" t="str">
        <f t="shared" si="10"/>
        <v/>
      </c>
      <c r="M94" t="b">
        <f t="shared" si="11"/>
        <v>0</v>
      </c>
    </row>
    <row r="95" spans="1:13" ht="15.75" x14ac:dyDescent="0.3">
      <c r="A95" s="2">
        <v>45371</v>
      </c>
      <c r="B95" s="1">
        <v>31351261</v>
      </c>
      <c r="C95" s="1">
        <v>0</v>
      </c>
      <c r="D95" s="3">
        <f t="shared" si="12"/>
        <v>31351261</v>
      </c>
      <c r="E95" s="1">
        <v>0</v>
      </c>
      <c r="F95" s="1">
        <v>0</v>
      </c>
      <c r="G95" s="1"/>
      <c r="H95">
        <f t="shared" si="7"/>
        <v>3</v>
      </c>
      <c r="I95" t="str">
        <f t="shared" si="8"/>
        <v/>
      </c>
      <c r="J95" t="str">
        <f t="shared" si="9"/>
        <v/>
      </c>
      <c r="K95" t="str">
        <f t="shared" si="10"/>
        <v/>
      </c>
      <c r="L95" t="str">
        <f t="shared" si="10"/>
        <v/>
      </c>
      <c r="M95" t="b">
        <f t="shared" si="11"/>
        <v>0</v>
      </c>
    </row>
    <row r="96" spans="1:13" ht="15.75" x14ac:dyDescent="0.3">
      <c r="A96" s="2">
        <v>45372</v>
      </c>
      <c r="B96" s="1">
        <v>31953724</v>
      </c>
      <c r="C96" s="1">
        <v>0</v>
      </c>
      <c r="D96" s="3">
        <f t="shared" si="12"/>
        <v>31953724</v>
      </c>
      <c r="E96" s="1">
        <v>0</v>
      </c>
      <c r="F96" s="1">
        <v>0</v>
      </c>
      <c r="G96" s="1"/>
      <c r="H96">
        <f t="shared" si="7"/>
        <v>3</v>
      </c>
      <c r="I96" t="str">
        <f t="shared" si="8"/>
        <v/>
      </c>
      <c r="J96" t="str">
        <f t="shared" si="9"/>
        <v/>
      </c>
      <c r="K96" t="str">
        <f t="shared" si="10"/>
        <v/>
      </c>
      <c r="L96" t="str">
        <f t="shared" si="10"/>
        <v/>
      </c>
      <c r="M96" t="b">
        <f t="shared" si="11"/>
        <v>0</v>
      </c>
    </row>
    <row r="97" spans="1:13" ht="15.75" x14ac:dyDescent="0.3">
      <c r="A97" s="2">
        <v>45373</v>
      </c>
      <c r="B97" s="1">
        <v>31693563</v>
      </c>
      <c r="C97" s="1">
        <v>0</v>
      </c>
      <c r="D97" s="3">
        <f t="shared" si="12"/>
        <v>31693563</v>
      </c>
      <c r="E97" s="1">
        <v>0</v>
      </c>
      <c r="F97" s="1">
        <v>0</v>
      </c>
      <c r="G97" s="1"/>
      <c r="H97">
        <f t="shared" si="7"/>
        <v>3</v>
      </c>
      <c r="I97" t="str">
        <f t="shared" si="8"/>
        <v/>
      </c>
      <c r="J97" t="str">
        <f t="shared" si="9"/>
        <v/>
      </c>
      <c r="K97" t="str">
        <f t="shared" si="10"/>
        <v/>
      </c>
      <c r="L97" t="str">
        <f t="shared" si="10"/>
        <v/>
      </c>
      <c r="M97" t="b">
        <f t="shared" si="11"/>
        <v>0</v>
      </c>
    </row>
    <row r="98" spans="1:13" ht="15.75" x14ac:dyDescent="0.3">
      <c r="A98" s="2">
        <v>45376</v>
      </c>
      <c r="B98" s="1">
        <v>31668270</v>
      </c>
      <c r="C98" s="1">
        <v>0</v>
      </c>
      <c r="D98" s="3">
        <f t="shared" si="12"/>
        <v>31668270</v>
      </c>
      <c r="E98" s="1">
        <v>0</v>
      </c>
      <c r="F98" s="1">
        <v>0</v>
      </c>
      <c r="G98" s="1"/>
      <c r="H98">
        <f t="shared" si="7"/>
        <v>3</v>
      </c>
      <c r="I98" t="str">
        <f t="shared" si="8"/>
        <v/>
      </c>
      <c r="J98" t="str">
        <f t="shared" si="9"/>
        <v/>
      </c>
      <c r="K98" t="str">
        <f t="shared" si="10"/>
        <v/>
      </c>
      <c r="L98" t="str">
        <f t="shared" si="10"/>
        <v/>
      </c>
      <c r="M98" t="b">
        <f t="shared" si="11"/>
        <v>0</v>
      </c>
    </row>
    <row r="99" spans="1:13" ht="15.75" x14ac:dyDescent="0.3">
      <c r="A99" s="2">
        <v>45377</v>
      </c>
      <c r="B99" s="1">
        <v>31815215</v>
      </c>
      <c r="C99" s="1">
        <v>0</v>
      </c>
      <c r="D99" s="3">
        <f t="shared" si="12"/>
        <v>31815215</v>
      </c>
      <c r="E99" s="1">
        <v>0</v>
      </c>
      <c r="F99" s="1">
        <v>0</v>
      </c>
      <c r="G99" s="1"/>
      <c r="H99">
        <f t="shared" si="7"/>
        <v>3</v>
      </c>
      <c r="I99" t="str">
        <f t="shared" si="8"/>
        <v/>
      </c>
      <c r="J99" t="str">
        <f t="shared" si="9"/>
        <v/>
      </c>
      <c r="K99" t="str">
        <f t="shared" si="10"/>
        <v/>
      </c>
      <c r="L99" t="str">
        <f t="shared" si="10"/>
        <v/>
      </c>
      <c r="M99" t="b">
        <f t="shared" si="11"/>
        <v>0</v>
      </c>
    </row>
    <row r="100" spans="1:13" ht="15.75" x14ac:dyDescent="0.3">
      <c r="A100" s="2">
        <v>45378</v>
      </c>
      <c r="B100" s="1">
        <v>30791842</v>
      </c>
      <c r="C100" s="1">
        <v>0</v>
      </c>
      <c r="D100" s="3">
        <f t="shared" si="12"/>
        <v>30791842</v>
      </c>
      <c r="E100" s="1">
        <v>0</v>
      </c>
      <c r="F100" s="1">
        <v>0</v>
      </c>
      <c r="G100" s="1"/>
      <c r="H100">
        <f t="shared" si="7"/>
        <v>3</v>
      </c>
      <c r="I100">
        <f t="shared" si="8"/>
        <v>30791842</v>
      </c>
      <c r="J100">
        <f t="shared" si="9"/>
        <v>0</v>
      </c>
      <c r="K100">
        <f t="shared" si="10"/>
        <v>0</v>
      </c>
      <c r="L100">
        <f t="shared" si="10"/>
        <v>0</v>
      </c>
      <c r="M100" t="b">
        <f t="shared" si="11"/>
        <v>1</v>
      </c>
    </row>
    <row r="101" spans="1:13" ht="15.75" x14ac:dyDescent="0.3">
      <c r="A101" s="2">
        <v>45385</v>
      </c>
      <c r="B101" s="1">
        <v>32367661</v>
      </c>
      <c r="C101" s="1">
        <v>0</v>
      </c>
      <c r="D101" s="3">
        <f t="shared" si="12"/>
        <v>32367661</v>
      </c>
      <c r="E101" s="1">
        <v>0</v>
      </c>
      <c r="F101" s="1">
        <v>0</v>
      </c>
      <c r="G101" s="1"/>
      <c r="H101">
        <f t="shared" si="7"/>
        <v>4</v>
      </c>
      <c r="I101" t="str">
        <f t="shared" si="8"/>
        <v/>
      </c>
      <c r="J101" t="str">
        <f t="shared" si="9"/>
        <v/>
      </c>
      <c r="K101" t="str">
        <f t="shared" si="10"/>
        <v/>
      </c>
      <c r="L101" t="str">
        <f t="shared" si="10"/>
        <v/>
      </c>
      <c r="M101" t="b">
        <f t="shared" si="11"/>
        <v>0</v>
      </c>
    </row>
    <row r="102" spans="1:13" ht="15.75" x14ac:dyDescent="0.3">
      <c r="A102" s="2">
        <v>45386</v>
      </c>
      <c r="B102" s="1">
        <v>32862726</v>
      </c>
      <c r="C102" s="1">
        <v>0</v>
      </c>
      <c r="D102" s="3">
        <f t="shared" si="12"/>
        <v>32862726</v>
      </c>
      <c r="E102" s="1">
        <v>0</v>
      </c>
      <c r="F102" s="1">
        <v>0</v>
      </c>
      <c r="G102" s="1"/>
      <c r="H102">
        <f t="shared" si="7"/>
        <v>4</v>
      </c>
      <c r="I102" t="str">
        <f t="shared" si="8"/>
        <v/>
      </c>
      <c r="J102" t="str">
        <f t="shared" si="9"/>
        <v/>
      </c>
      <c r="K102" t="str">
        <f t="shared" si="10"/>
        <v/>
      </c>
      <c r="L102" t="str">
        <f t="shared" si="10"/>
        <v/>
      </c>
      <c r="M102" t="b">
        <f t="shared" si="11"/>
        <v>0</v>
      </c>
    </row>
    <row r="103" spans="1:13" ht="15.75" x14ac:dyDescent="0.3">
      <c r="A103" s="2">
        <v>45387</v>
      </c>
      <c r="B103" s="1">
        <v>33084351</v>
      </c>
      <c r="C103" s="1">
        <v>0</v>
      </c>
      <c r="D103" s="3">
        <f t="shared" si="12"/>
        <v>33084351</v>
      </c>
      <c r="E103" s="1">
        <v>0</v>
      </c>
      <c r="F103" s="1">
        <v>0</v>
      </c>
      <c r="G103" s="1"/>
      <c r="H103">
        <f t="shared" si="7"/>
        <v>4</v>
      </c>
      <c r="I103" t="str">
        <f t="shared" si="8"/>
        <v/>
      </c>
      <c r="J103" t="str">
        <f t="shared" si="9"/>
        <v/>
      </c>
      <c r="K103" t="str">
        <f t="shared" si="10"/>
        <v/>
      </c>
      <c r="L103" t="str">
        <f t="shared" si="10"/>
        <v/>
      </c>
      <c r="M103" t="b">
        <f t="shared" si="11"/>
        <v>0</v>
      </c>
    </row>
    <row r="104" spans="1:13" ht="15.75" x14ac:dyDescent="0.3">
      <c r="A104" s="2">
        <v>45390</v>
      </c>
      <c r="B104" s="1">
        <v>33669353</v>
      </c>
      <c r="C104" s="1">
        <v>0</v>
      </c>
      <c r="D104" s="3">
        <f t="shared" si="12"/>
        <v>33669353</v>
      </c>
      <c r="E104" s="1">
        <v>0</v>
      </c>
      <c r="F104" s="1">
        <v>0</v>
      </c>
      <c r="G104" s="1"/>
      <c r="H104">
        <f t="shared" si="7"/>
        <v>4</v>
      </c>
      <c r="I104" t="str">
        <f t="shared" si="8"/>
        <v/>
      </c>
      <c r="J104" t="str">
        <f t="shared" si="9"/>
        <v/>
      </c>
      <c r="K104" t="str">
        <f t="shared" si="10"/>
        <v/>
      </c>
      <c r="L104" t="str">
        <f t="shared" si="10"/>
        <v/>
      </c>
      <c r="M104" t="b">
        <f t="shared" si="11"/>
        <v>0</v>
      </c>
    </row>
    <row r="105" spans="1:13" ht="15.75" x14ac:dyDescent="0.3">
      <c r="A105" s="2">
        <v>45391</v>
      </c>
      <c r="B105" s="1">
        <v>33903447</v>
      </c>
      <c r="C105" s="1">
        <v>0</v>
      </c>
      <c r="D105" s="3">
        <f t="shared" si="12"/>
        <v>33903447</v>
      </c>
      <c r="E105" s="1">
        <v>0</v>
      </c>
      <c r="F105" s="1">
        <v>0</v>
      </c>
      <c r="G105" s="1"/>
      <c r="H105">
        <f t="shared" si="7"/>
        <v>4</v>
      </c>
      <c r="I105" t="str">
        <f t="shared" si="8"/>
        <v/>
      </c>
      <c r="J105" t="str">
        <f t="shared" si="9"/>
        <v/>
      </c>
      <c r="K105" t="str">
        <f t="shared" si="10"/>
        <v/>
      </c>
      <c r="L105" t="str">
        <f t="shared" si="10"/>
        <v/>
      </c>
      <c r="M105" t="b">
        <f t="shared" si="11"/>
        <v>0</v>
      </c>
    </row>
    <row r="106" spans="1:13" ht="15.75" x14ac:dyDescent="0.3">
      <c r="A106" s="2">
        <v>45392</v>
      </c>
      <c r="B106" s="1">
        <v>34102263</v>
      </c>
      <c r="C106" s="1">
        <v>0</v>
      </c>
      <c r="D106" s="3">
        <f t="shared" si="12"/>
        <v>34102263</v>
      </c>
      <c r="E106" s="1">
        <v>0</v>
      </c>
      <c r="F106" s="1">
        <v>0</v>
      </c>
      <c r="G106" s="1"/>
      <c r="H106">
        <f t="shared" si="7"/>
        <v>4</v>
      </c>
      <c r="I106" t="str">
        <f t="shared" si="8"/>
        <v/>
      </c>
      <c r="J106" t="str">
        <f t="shared" si="9"/>
        <v/>
      </c>
      <c r="K106" t="str">
        <f t="shared" si="10"/>
        <v/>
      </c>
      <c r="L106" t="str">
        <f t="shared" si="10"/>
        <v/>
      </c>
      <c r="M106" t="b">
        <f t="shared" si="11"/>
        <v>0</v>
      </c>
    </row>
    <row r="107" spans="1:13" ht="15.75" x14ac:dyDescent="0.3">
      <c r="A107" s="2">
        <v>45393</v>
      </c>
      <c r="B107" s="1">
        <v>34182219</v>
      </c>
      <c r="C107" s="1">
        <v>0</v>
      </c>
      <c r="D107" s="3">
        <f t="shared" si="12"/>
        <v>34182219</v>
      </c>
      <c r="E107" s="1">
        <v>0</v>
      </c>
      <c r="F107" s="1">
        <v>0</v>
      </c>
      <c r="G107" s="1"/>
      <c r="H107">
        <f t="shared" si="7"/>
        <v>4</v>
      </c>
      <c r="I107" t="str">
        <f t="shared" si="8"/>
        <v/>
      </c>
      <c r="J107" t="str">
        <f t="shared" si="9"/>
        <v/>
      </c>
      <c r="K107" t="str">
        <f t="shared" si="10"/>
        <v/>
      </c>
      <c r="L107" t="str">
        <f t="shared" si="10"/>
        <v/>
      </c>
      <c r="M107" t="b">
        <f t="shared" si="11"/>
        <v>0</v>
      </c>
    </row>
    <row r="108" spans="1:13" ht="15.75" x14ac:dyDescent="0.3">
      <c r="A108" s="2">
        <v>45394</v>
      </c>
      <c r="B108" s="1">
        <v>34043436</v>
      </c>
      <c r="C108" s="1">
        <v>0</v>
      </c>
      <c r="D108" s="3">
        <f t="shared" si="12"/>
        <v>34043436</v>
      </c>
      <c r="E108" s="1">
        <v>0</v>
      </c>
      <c r="F108" s="1">
        <v>0</v>
      </c>
      <c r="G108" s="1"/>
      <c r="H108">
        <f t="shared" si="7"/>
        <v>4</v>
      </c>
      <c r="I108" t="str">
        <f t="shared" si="8"/>
        <v/>
      </c>
      <c r="J108" t="str">
        <f t="shared" si="9"/>
        <v/>
      </c>
      <c r="K108" t="str">
        <f t="shared" si="10"/>
        <v/>
      </c>
      <c r="L108" t="str">
        <f t="shared" si="10"/>
        <v/>
      </c>
      <c r="M108" t="b">
        <f t="shared" si="11"/>
        <v>0</v>
      </c>
    </row>
    <row r="109" spans="1:13" ht="15.75" x14ac:dyDescent="0.3">
      <c r="A109" s="2">
        <v>45397</v>
      </c>
      <c r="B109" s="1">
        <v>31633484</v>
      </c>
      <c r="C109" s="1">
        <v>0</v>
      </c>
      <c r="D109" s="3">
        <f t="shared" si="12"/>
        <v>31633484</v>
      </c>
      <c r="E109" s="1">
        <v>0</v>
      </c>
      <c r="F109" s="1">
        <v>0</v>
      </c>
      <c r="G109" s="1"/>
      <c r="H109">
        <f t="shared" si="7"/>
        <v>4</v>
      </c>
      <c r="I109" t="str">
        <f t="shared" si="8"/>
        <v/>
      </c>
      <c r="J109" t="str">
        <f t="shared" si="9"/>
        <v/>
      </c>
      <c r="K109" t="str">
        <f t="shared" si="10"/>
        <v/>
      </c>
      <c r="L109" t="str">
        <f t="shared" si="10"/>
        <v/>
      </c>
      <c r="M109" t="b">
        <f t="shared" si="11"/>
        <v>0</v>
      </c>
    </row>
    <row r="110" spans="1:13" ht="15.75" x14ac:dyDescent="0.3">
      <c r="A110" s="2">
        <v>45398</v>
      </c>
      <c r="B110" s="1">
        <v>31507181</v>
      </c>
      <c r="C110" s="1">
        <v>0</v>
      </c>
      <c r="D110" s="3">
        <f t="shared" si="12"/>
        <v>31507181</v>
      </c>
      <c r="E110" s="1">
        <v>0</v>
      </c>
      <c r="F110" s="1">
        <v>0</v>
      </c>
      <c r="G110" s="1"/>
      <c r="H110">
        <f t="shared" si="7"/>
        <v>4</v>
      </c>
      <c r="I110" t="str">
        <f t="shared" si="8"/>
        <v/>
      </c>
      <c r="J110" t="str">
        <f t="shared" si="9"/>
        <v/>
      </c>
      <c r="K110" t="str">
        <f t="shared" si="10"/>
        <v/>
      </c>
      <c r="L110" t="str">
        <f t="shared" si="10"/>
        <v/>
      </c>
      <c r="M110" t="b">
        <f t="shared" si="11"/>
        <v>0</v>
      </c>
    </row>
    <row r="111" spans="1:13" ht="15.75" x14ac:dyDescent="0.3">
      <c r="A111" s="2">
        <v>45399</v>
      </c>
      <c r="B111" s="1">
        <v>31783323</v>
      </c>
      <c r="C111" s="1">
        <v>0</v>
      </c>
      <c r="D111" s="3">
        <f t="shared" si="12"/>
        <v>31783323</v>
      </c>
      <c r="E111" s="1">
        <v>0</v>
      </c>
      <c r="F111" s="1">
        <v>0</v>
      </c>
      <c r="G111" s="1"/>
      <c r="H111">
        <f t="shared" si="7"/>
        <v>4</v>
      </c>
      <c r="I111" t="str">
        <f t="shared" si="8"/>
        <v/>
      </c>
      <c r="J111" t="str">
        <f t="shared" si="9"/>
        <v/>
      </c>
      <c r="K111" t="str">
        <f t="shared" si="10"/>
        <v/>
      </c>
      <c r="L111" t="str">
        <f t="shared" si="10"/>
        <v/>
      </c>
      <c r="M111" t="b">
        <f t="shared" si="11"/>
        <v>0</v>
      </c>
    </row>
    <row r="112" spans="1:13" ht="15.75" x14ac:dyDescent="0.3">
      <c r="A112" s="2">
        <v>45400</v>
      </c>
      <c r="B112" s="1">
        <v>31897813</v>
      </c>
      <c r="C112" s="1">
        <v>0</v>
      </c>
      <c r="D112" s="3">
        <f t="shared" si="12"/>
        <v>31897813</v>
      </c>
      <c r="E112" s="1">
        <v>0</v>
      </c>
      <c r="F112" s="1">
        <v>0</v>
      </c>
      <c r="G112" s="1"/>
      <c r="H112">
        <f t="shared" si="7"/>
        <v>4</v>
      </c>
      <c r="I112" t="str">
        <f t="shared" si="8"/>
        <v/>
      </c>
      <c r="J112" t="str">
        <f t="shared" si="9"/>
        <v/>
      </c>
      <c r="K112" t="str">
        <f t="shared" si="10"/>
        <v/>
      </c>
      <c r="L112" t="str">
        <f t="shared" si="10"/>
        <v/>
      </c>
      <c r="M112" t="b">
        <f t="shared" si="11"/>
        <v>0</v>
      </c>
    </row>
    <row r="113" spans="1:13" ht="15.75" x14ac:dyDescent="0.3">
      <c r="A113" s="2">
        <v>45401</v>
      </c>
      <c r="B113" s="1">
        <v>31491277</v>
      </c>
      <c r="C113" s="1">
        <v>0</v>
      </c>
      <c r="D113" s="3">
        <f t="shared" si="12"/>
        <v>31491277</v>
      </c>
      <c r="E113" s="1">
        <v>0</v>
      </c>
      <c r="F113" s="1">
        <v>0</v>
      </c>
      <c r="G113" s="1"/>
      <c r="H113">
        <f t="shared" si="7"/>
        <v>4</v>
      </c>
      <c r="I113" t="str">
        <f t="shared" si="8"/>
        <v/>
      </c>
      <c r="J113" t="str">
        <f t="shared" si="9"/>
        <v/>
      </c>
      <c r="K113" t="str">
        <f t="shared" si="10"/>
        <v/>
      </c>
      <c r="L113" t="str">
        <f t="shared" si="10"/>
        <v/>
      </c>
      <c r="M113" t="b">
        <f t="shared" si="11"/>
        <v>0</v>
      </c>
    </row>
    <row r="114" spans="1:13" ht="15.75" x14ac:dyDescent="0.3">
      <c r="A114" s="2">
        <v>45404</v>
      </c>
      <c r="B114" s="1">
        <v>31914194</v>
      </c>
      <c r="C114" s="1">
        <v>0</v>
      </c>
      <c r="D114" s="3">
        <f t="shared" si="12"/>
        <v>31914194</v>
      </c>
      <c r="E114" s="1">
        <v>0</v>
      </c>
      <c r="F114" s="1">
        <v>0</v>
      </c>
      <c r="G114" s="1"/>
      <c r="H114">
        <f t="shared" si="7"/>
        <v>4</v>
      </c>
      <c r="I114" t="str">
        <f t="shared" si="8"/>
        <v/>
      </c>
      <c r="J114" t="str">
        <f t="shared" si="9"/>
        <v/>
      </c>
      <c r="K114" t="str">
        <f t="shared" si="10"/>
        <v/>
      </c>
      <c r="L114" t="str">
        <f t="shared" si="10"/>
        <v/>
      </c>
      <c r="M114" t="b">
        <f t="shared" si="11"/>
        <v>0</v>
      </c>
    </row>
    <row r="115" spans="1:13" ht="15.75" x14ac:dyDescent="0.3">
      <c r="A115" s="2">
        <v>45405</v>
      </c>
      <c r="B115" s="1">
        <v>32016795</v>
      </c>
      <c r="C115" s="1">
        <v>0</v>
      </c>
      <c r="D115" s="3">
        <f t="shared" si="12"/>
        <v>32016795</v>
      </c>
      <c r="E115" s="1">
        <v>0</v>
      </c>
      <c r="F115" s="1">
        <v>0</v>
      </c>
      <c r="G115" s="1"/>
      <c r="H115">
        <f t="shared" si="7"/>
        <v>4</v>
      </c>
      <c r="I115" t="str">
        <f t="shared" si="8"/>
        <v/>
      </c>
      <c r="J115" t="str">
        <f t="shared" si="9"/>
        <v/>
      </c>
      <c r="K115" t="str">
        <f t="shared" si="10"/>
        <v/>
      </c>
      <c r="L115" t="str">
        <f t="shared" si="10"/>
        <v/>
      </c>
      <c r="M115" t="b">
        <f t="shared" si="11"/>
        <v>0</v>
      </c>
    </row>
    <row r="116" spans="1:13" ht="15.75" x14ac:dyDescent="0.3">
      <c r="A116" s="2">
        <v>45406</v>
      </c>
      <c r="B116" s="1">
        <v>32358993</v>
      </c>
      <c r="C116" s="1">
        <v>0</v>
      </c>
      <c r="D116" s="3">
        <f t="shared" si="12"/>
        <v>32358993</v>
      </c>
      <c r="E116" s="1">
        <v>0</v>
      </c>
      <c r="F116" s="1">
        <v>0</v>
      </c>
      <c r="G116" s="1"/>
      <c r="H116">
        <f t="shared" si="7"/>
        <v>4</v>
      </c>
      <c r="I116" t="str">
        <f t="shared" si="8"/>
        <v/>
      </c>
      <c r="J116" t="str">
        <f t="shared" si="9"/>
        <v/>
      </c>
      <c r="K116" t="str">
        <f t="shared" si="10"/>
        <v/>
      </c>
      <c r="L116" t="str">
        <f t="shared" si="10"/>
        <v/>
      </c>
      <c r="M116" t="b">
        <f t="shared" si="11"/>
        <v>0</v>
      </c>
    </row>
    <row r="117" spans="1:13" ht="15.75" x14ac:dyDescent="0.3">
      <c r="A117" s="2">
        <v>45407</v>
      </c>
      <c r="B117" s="1">
        <v>32574248</v>
      </c>
      <c r="C117" s="1">
        <v>0</v>
      </c>
      <c r="D117" s="3">
        <f t="shared" si="12"/>
        <v>32574248</v>
      </c>
      <c r="E117" s="1">
        <v>0</v>
      </c>
      <c r="F117" s="1">
        <v>0</v>
      </c>
      <c r="G117" s="1"/>
      <c r="H117">
        <f t="shared" si="7"/>
        <v>4</v>
      </c>
      <c r="I117" t="str">
        <f t="shared" si="8"/>
        <v/>
      </c>
      <c r="J117" t="str">
        <f t="shared" si="9"/>
        <v/>
      </c>
      <c r="K117" t="str">
        <f t="shared" si="10"/>
        <v/>
      </c>
      <c r="L117" t="str">
        <f t="shared" si="10"/>
        <v/>
      </c>
      <c r="M117" t="b">
        <f t="shared" si="11"/>
        <v>0</v>
      </c>
    </row>
    <row r="118" spans="1:13" ht="15.75" x14ac:dyDescent="0.3">
      <c r="A118" s="2">
        <v>45408</v>
      </c>
      <c r="B118" s="1">
        <v>33201601</v>
      </c>
      <c r="C118" s="1">
        <v>0</v>
      </c>
      <c r="D118" s="3">
        <f t="shared" si="12"/>
        <v>33201601</v>
      </c>
      <c r="E118" s="1">
        <v>0</v>
      </c>
      <c r="F118" s="1">
        <v>0</v>
      </c>
      <c r="G118" s="1"/>
      <c r="H118">
        <f t="shared" si="7"/>
        <v>4</v>
      </c>
      <c r="I118" t="str">
        <f t="shared" si="8"/>
        <v/>
      </c>
      <c r="J118" t="str">
        <f t="shared" si="9"/>
        <v/>
      </c>
      <c r="K118" t="str">
        <f t="shared" si="10"/>
        <v/>
      </c>
      <c r="L118" t="str">
        <f t="shared" si="10"/>
        <v/>
      </c>
      <c r="M118" t="b">
        <f t="shared" si="11"/>
        <v>0</v>
      </c>
    </row>
    <row r="119" spans="1:13" ht="15.75" x14ac:dyDescent="0.3">
      <c r="A119" s="2">
        <v>45411</v>
      </c>
      <c r="B119" s="1">
        <v>33307225</v>
      </c>
      <c r="C119" s="1">
        <v>0</v>
      </c>
      <c r="D119" s="3">
        <f t="shared" si="12"/>
        <v>33307225</v>
      </c>
      <c r="E119" s="1">
        <v>0</v>
      </c>
      <c r="F119" s="1">
        <v>0</v>
      </c>
      <c r="G119" s="1"/>
      <c r="H119">
        <f t="shared" si="7"/>
        <v>4</v>
      </c>
      <c r="I119" t="str">
        <f t="shared" si="8"/>
        <v/>
      </c>
      <c r="J119" t="str">
        <f t="shared" si="9"/>
        <v/>
      </c>
      <c r="K119" t="str">
        <f t="shared" si="10"/>
        <v/>
      </c>
      <c r="L119" t="str">
        <f t="shared" si="10"/>
        <v/>
      </c>
      <c r="M119" t="b">
        <f t="shared" si="11"/>
        <v>0</v>
      </c>
    </row>
    <row r="120" spans="1:13" ht="15.75" x14ac:dyDescent="0.3">
      <c r="A120" s="2">
        <v>45412</v>
      </c>
      <c r="B120" s="1">
        <v>32712831</v>
      </c>
      <c r="C120" s="1">
        <v>0</v>
      </c>
      <c r="D120" s="3">
        <f t="shared" si="12"/>
        <v>32712831</v>
      </c>
      <c r="E120" s="1">
        <v>0</v>
      </c>
      <c r="F120" s="1">
        <v>0</v>
      </c>
      <c r="G120" s="1"/>
      <c r="H120">
        <f t="shared" si="7"/>
        <v>4</v>
      </c>
      <c r="I120">
        <f t="shared" si="8"/>
        <v>32712831</v>
      </c>
      <c r="J120">
        <f t="shared" si="9"/>
        <v>0</v>
      </c>
      <c r="K120">
        <f t="shared" si="10"/>
        <v>0</v>
      </c>
      <c r="L120">
        <f t="shared" si="10"/>
        <v>0</v>
      </c>
      <c r="M120" t="b">
        <f t="shared" si="11"/>
        <v>1</v>
      </c>
    </row>
    <row r="121" spans="1:13" ht="15.75" x14ac:dyDescent="0.3">
      <c r="A121" s="2">
        <v>45414</v>
      </c>
      <c r="B121" s="1">
        <v>34613742</v>
      </c>
      <c r="C121" s="1">
        <v>0</v>
      </c>
      <c r="D121" s="3">
        <f t="shared" si="12"/>
        <v>34613742</v>
      </c>
      <c r="E121" s="1">
        <v>0</v>
      </c>
      <c r="F121" s="1">
        <v>0</v>
      </c>
      <c r="G121" s="1"/>
      <c r="H121">
        <f t="shared" si="7"/>
        <v>5</v>
      </c>
      <c r="I121" t="str">
        <f t="shared" si="8"/>
        <v/>
      </c>
      <c r="J121" t="str">
        <f t="shared" si="9"/>
        <v/>
      </c>
      <c r="K121" t="str">
        <f t="shared" si="10"/>
        <v/>
      </c>
      <c r="L121" t="str">
        <f t="shared" si="10"/>
        <v/>
      </c>
      <c r="M121" t="b">
        <f t="shared" si="11"/>
        <v>0</v>
      </c>
    </row>
    <row r="122" spans="1:13" ht="15.75" x14ac:dyDescent="0.3">
      <c r="A122" s="2">
        <v>45415</v>
      </c>
      <c r="B122" s="1">
        <v>34655017</v>
      </c>
      <c r="C122" s="1">
        <v>0</v>
      </c>
      <c r="D122" s="3">
        <f t="shared" si="12"/>
        <v>34655017</v>
      </c>
      <c r="E122" s="1">
        <v>0</v>
      </c>
      <c r="F122" s="1">
        <v>0</v>
      </c>
      <c r="G122" s="1"/>
      <c r="H122">
        <f t="shared" si="7"/>
        <v>5</v>
      </c>
      <c r="I122" t="str">
        <f t="shared" si="8"/>
        <v/>
      </c>
      <c r="J122" t="str">
        <f t="shared" si="9"/>
        <v/>
      </c>
      <c r="K122" t="str">
        <f t="shared" si="10"/>
        <v/>
      </c>
      <c r="L122" t="str">
        <f t="shared" si="10"/>
        <v/>
      </c>
      <c r="M122" t="b">
        <f t="shared" si="11"/>
        <v>0</v>
      </c>
    </row>
    <row r="123" spans="1:13" ht="15.75" x14ac:dyDescent="0.3">
      <c r="A123" s="2">
        <v>45418</v>
      </c>
      <c r="B123" s="1">
        <v>34704482</v>
      </c>
      <c r="C123" s="1">
        <v>0</v>
      </c>
      <c r="D123" s="3">
        <f t="shared" si="12"/>
        <v>34704482</v>
      </c>
      <c r="E123" s="1">
        <v>0</v>
      </c>
      <c r="F123" s="1">
        <v>0</v>
      </c>
      <c r="G123" s="1"/>
      <c r="H123">
        <f t="shared" si="7"/>
        <v>5</v>
      </c>
      <c r="I123" t="str">
        <f t="shared" si="8"/>
        <v/>
      </c>
      <c r="J123" t="str">
        <f t="shared" si="9"/>
        <v/>
      </c>
      <c r="K123" t="str">
        <f t="shared" si="10"/>
        <v/>
      </c>
      <c r="L123" t="str">
        <f t="shared" si="10"/>
        <v/>
      </c>
      <c r="M123" t="b">
        <f t="shared" si="11"/>
        <v>0</v>
      </c>
    </row>
    <row r="124" spans="1:13" ht="15.75" x14ac:dyDescent="0.3">
      <c r="A124" s="2">
        <v>45419</v>
      </c>
      <c r="B124" s="1">
        <v>35007368</v>
      </c>
      <c r="C124" s="1">
        <v>0</v>
      </c>
      <c r="D124" s="3">
        <f t="shared" si="12"/>
        <v>35007368</v>
      </c>
      <c r="E124" s="1">
        <v>0</v>
      </c>
      <c r="F124" s="1">
        <v>0</v>
      </c>
      <c r="G124" s="1"/>
      <c r="H124">
        <f t="shared" si="7"/>
        <v>5</v>
      </c>
      <c r="I124" t="str">
        <f t="shared" si="8"/>
        <v/>
      </c>
      <c r="J124" t="str">
        <f t="shared" si="9"/>
        <v/>
      </c>
      <c r="K124" t="str">
        <f t="shared" si="10"/>
        <v/>
      </c>
      <c r="L124" t="str">
        <f t="shared" si="10"/>
        <v/>
      </c>
      <c r="M124" t="b">
        <f t="shared" si="11"/>
        <v>0</v>
      </c>
    </row>
    <row r="125" spans="1:13" ht="15.75" x14ac:dyDescent="0.3">
      <c r="A125" s="2">
        <v>45420</v>
      </c>
      <c r="B125" s="1">
        <v>34580077</v>
      </c>
      <c r="C125" s="1">
        <v>0</v>
      </c>
      <c r="D125" s="3">
        <f t="shared" si="12"/>
        <v>34580077</v>
      </c>
      <c r="E125" s="1">
        <v>0</v>
      </c>
      <c r="F125" s="1">
        <v>0</v>
      </c>
      <c r="G125" s="1"/>
      <c r="H125">
        <f t="shared" si="7"/>
        <v>5</v>
      </c>
      <c r="I125" t="str">
        <f t="shared" si="8"/>
        <v/>
      </c>
      <c r="J125" t="str">
        <f t="shared" si="9"/>
        <v/>
      </c>
      <c r="K125" t="str">
        <f t="shared" si="10"/>
        <v/>
      </c>
      <c r="L125" t="str">
        <f t="shared" si="10"/>
        <v/>
      </c>
      <c r="M125" t="b">
        <f t="shared" si="11"/>
        <v>0</v>
      </c>
    </row>
    <row r="126" spans="1:13" ht="15.75" x14ac:dyDescent="0.3">
      <c r="A126" s="2">
        <v>45421</v>
      </c>
      <c r="B126" s="1">
        <v>35122186</v>
      </c>
      <c r="C126" s="1">
        <v>0</v>
      </c>
      <c r="D126" s="3">
        <f t="shared" si="12"/>
        <v>35122186</v>
      </c>
      <c r="E126" s="1">
        <v>0</v>
      </c>
      <c r="F126" s="1">
        <v>0</v>
      </c>
      <c r="G126" s="1"/>
      <c r="H126">
        <f t="shared" si="7"/>
        <v>5</v>
      </c>
      <c r="I126" t="str">
        <f t="shared" si="8"/>
        <v/>
      </c>
      <c r="J126" t="str">
        <f t="shared" si="9"/>
        <v/>
      </c>
      <c r="K126" t="str">
        <f t="shared" si="10"/>
        <v/>
      </c>
      <c r="L126" t="str">
        <f t="shared" si="10"/>
        <v/>
      </c>
      <c r="M126" t="b">
        <f t="shared" si="11"/>
        <v>0</v>
      </c>
    </row>
    <row r="127" spans="1:13" ht="15.75" x14ac:dyDescent="0.3">
      <c r="A127" s="2">
        <v>45422</v>
      </c>
      <c r="B127" s="1">
        <v>35288656</v>
      </c>
      <c r="C127" s="1">
        <v>0</v>
      </c>
      <c r="D127" s="3">
        <f t="shared" si="12"/>
        <v>35288656</v>
      </c>
      <c r="E127" s="1">
        <v>0</v>
      </c>
      <c r="F127" s="1">
        <v>0</v>
      </c>
      <c r="G127" s="1"/>
      <c r="H127">
        <f t="shared" si="7"/>
        <v>5</v>
      </c>
      <c r="I127" t="str">
        <f t="shared" si="8"/>
        <v/>
      </c>
      <c r="J127" t="str">
        <f t="shared" si="9"/>
        <v/>
      </c>
      <c r="K127" t="str">
        <f t="shared" si="10"/>
        <v/>
      </c>
      <c r="L127" t="str">
        <f t="shared" si="10"/>
        <v/>
      </c>
      <c r="M127" t="b">
        <f t="shared" si="11"/>
        <v>0</v>
      </c>
    </row>
    <row r="128" spans="1:13" ht="15.75" x14ac:dyDescent="0.3">
      <c r="A128" s="2">
        <v>45425</v>
      </c>
      <c r="B128" s="1">
        <v>35496044</v>
      </c>
      <c r="C128" s="1">
        <v>0</v>
      </c>
      <c r="D128" s="3">
        <f t="shared" si="12"/>
        <v>35496044</v>
      </c>
      <c r="E128" s="1">
        <v>0</v>
      </c>
      <c r="F128" s="1">
        <v>0</v>
      </c>
      <c r="G128" s="1"/>
      <c r="H128">
        <f t="shared" si="7"/>
        <v>5</v>
      </c>
      <c r="I128" t="str">
        <f t="shared" si="8"/>
        <v/>
      </c>
      <c r="J128" t="str">
        <f t="shared" si="9"/>
        <v/>
      </c>
      <c r="K128" t="str">
        <f t="shared" si="10"/>
        <v/>
      </c>
      <c r="L128" t="str">
        <f t="shared" si="10"/>
        <v/>
      </c>
      <c r="M128" t="b">
        <f t="shared" si="11"/>
        <v>0</v>
      </c>
    </row>
    <row r="129" spans="1:13" ht="15.75" x14ac:dyDescent="0.3">
      <c r="A129" s="2">
        <v>45426</v>
      </c>
      <c r="B129" s="1">
        <v>35547535</v>
      </c>
      <c r="C129" s="1">
        <v>0</v>
      </c>
      <c r="D129" s="3">
        <f t="shared" si="12"/>
        <v>35547535</v>
      </c>
      <c r="E129" s="1">
        <v>0</v>
      </c>
      <c r="F129" s="1">
        <v>0</v>
      </c>
      <c r="G129" s="1"/>
      <c r="H129">
        <f t="shared" si="7"/>
        <v>5</v>
      </c>
      <c r="I129" t="str">
        <f t="shared" si="8"/>
        <v/>
      </c>
      <c r="J129" t="str">
        <f t="shared" si="9"/>
        <v/>
      </c>
      <c r="K129" t="str">
        <f t="shared" si="10"/>
        <v/>
      </c>
      <c r="L129" t="str">
        <f t="shared" si="10"/>
        <v/>
      </c>
      <c r="M129" t="b">
        <f t="shared" si="11"/>
        <v>0</v>
      </c>
    </row>
    <row r="130" spans="1:13" ht="15.75" x14ac:dyDescent="0.3">
      <c r="A130" s="2">
        <v>45427</v>
      </c>
      <c r="B130" s="1">
        <v>33875718</v>
      </c>
      <c r="C130" s="1">
        <v>0</v>
      </c>
      <c r="D130" s="3">
        <f t="shared" si="12"/>
        <v>33875718</v>
      </c>
      <c r="E130" s="1">
        <v>0</v>
      </c>
      <c r="F130" s="1">
        <v>0</v>
      </c>
      <c r="G130" s="1"/>
      <c r="H130">
        <f t="shared" si="7"/>
        <v>5</v>
      </c>
      <c r="I130" t="str">
        <f t="shared" si="8"/>
        <v/>
      </c>
      <c r="J130" t="str">
        <f t="shared" si="9"/>
        <v/>
      </c>
      <c r="K130" t="str">
        <f t="shared" si="10"/>
        <v/>
      </c>
      <c r="L130" t="str">
        <f t="shared" si="10"/>
        <v/>
      </c>
      <c r="M130" t="b">
        <f t="shared" si="11"/>
        <v>0</v>
      </c>
    </row>
    <row r="131" spans="1:13" ht="15.75" x14ac:dyDescent="0.3">
      <c r="A131" s="2">
        <v>45428</v>
      </c>
      <c r="B131" s="1">
        <v>32656541</v>
      </c>
      <c r="C131" s="1">
        <v>0</v>
      </c>
      <c r="D131" s="3">
        <f t="shared" si="12"/>
        <v>32656541</v>
      </c>
      <c r="E131" s="1">
        <v>0</v>
      </c>
      <c r="F131" s="1">
        <v>0</v>
      </c>
      <c r="G131" s="1"/>
      <c r="H131">
        <f t="shared" ref="H131:H194" si="13">+MONTH(A131)</f>
        <v>5</v>
      </c>
      <c r="I131" t="str">
        <f t="shared" ref="I131:I194" si="14">+IF($H131&lt;&gt;$H132,D131,"")</f>
        <v/>
      </c>
      <c r="J131" t="str">
        <f t="shared" ref="J131:J194" si="15">+IF($H131&lt;&gt;$H132,E131,"")</f>
        <v/>
      </c>
      <c r="K131" t="str">
        <f t="shared" ref="K131:L194" si="16">+IF($H131&lt;&gt;$H132,F131,"")</f>
        <v/>
      </c>
      <c r="L131" t="str">
        <f t="shared" si="16"/>
        <v/>
      </c>
      <c r="M131" t="b">
        <f t="shared" ref="M131:M194" si="17">+$H131&lt;&gt;$H132</f>
        <v>0</v>
      </c>
    </row>
    <row r="132" spans="1:13" ht="15.75" x14ac:dyDescent="0.3">
      <c r="A132" s="2">
        <v>45429</v>
      </c>
      <c r="B132" s="1">
        <v>32792644</v>
      </c>
      <c r="C132" s="1">
        <v>0</v>
      </c>
      <c r="D132" s="3">
        <f t="shared" si="12"/>
        <v>32792644</v>
      </c>
      <c r="E132" s="1">
        <v>0</v>
      </c>
      <c r="F132" s="1">
        <v>0</v>
      </c>
      <c r="G132" s="1"/>
      <c r="H132">
        <f t="shared" si="13"/>
        <v>5</v>
      </c>
      <c r="I132" t="str">
        <f t="shared" si="14"/>
        <v/>
      </c>
      <c r="J132" t="str">
        <f t="shared" si="15"/>
        <v/>
      </c>
      <c r="K132" t="str">
        <f t="shared" si="16"/>
        <v/>
      </c>
      <c r="L132" t="str">
        <f t="shared" si="16"/>
        <v/>
      </c>
      <c r="M132" t="b">
        <f t="shared" si="17"/>
        <v>0</v>
      </c>
    </row>
    <row r="133" spans="1:13" ht="15.75" x14ac:dyDescent="0.3">
      <c r="A133" s="2">
        <v>45432</v>
      </c>
      <c r="B133" s="1">
        <v>21914397</v>
      </c>
      <c r="C133" s="1">
        <v>0</v>
      </c>
      <c r="D133" s="3">
        <f t="shared" si="12"/>
        <v>21914397</v>
      </c>
      <c r="E133" s="1">
        <v>0</v>
      </c>
      <c r="F133" s="1">
        <v>0</v>
      </c>
      <c r="G133" s="1"/>
      <c r="H133">
        <f t="shared" si="13"/>
        <v>5</v>
      </c>
      <c r="I133" t="str">
        <f t="shared" si="14"/>
        <v/>
      </c>
      <c r="J133" t="str">
        <f t="shared" si="15"/>
        <v/>
      </c>
      <c r="K133" t="str">
        <f t="shared" si="16"/>
        <v/>
      </c>
      <c r="L133" t="str">
        <f t="shared" si="16"/>
        <v/>
      </c>
      <c r="M133" t="b">
        <f t="shared" si="17"/>
        <v>0</v>
      </c>
    </row>
    <row r="134" spans="1:13" ht="15.75" x14ac:dyDescent="0.3">
      <c r="A134" s="2">
        <v>45433</v>
      </c>
      <c r="B134" s="1">
        <v>25356702</v>
      </c>
      <c r="C134" s="1">
        <v>0</v>
      </c>
      <c r="D134" s="3">
        <f t="shared" si="12"/>
        <v>25356702</v>
      </c>
      <c r="E134" s="1">
        <v>0</v>
      </c>
      <c r="F134" s="1">
        <v>0</v>
      </c>
      <c r="G134" s="1"/>
      <c r="H134">
        <f t="shared" si="13"/>
        <v>5</v>
      </c>
      <c r="I134" t="str">
        <f t="shared" si="14"/>
        <v/>
      </c>
      <c r="J134" t="str">
        <f t="shared" si="15"/>
        <v/>
      </c>
      <c r="K134" t="str">
        <f t="shared" si="16"/>
        <v/>
      </c>
      <c r="L134" t="str">
        <f t="shared" si="16"/>
        <v/>
      </c>
      <c r="M134" t="b">
        <f t="shared" si="17"/>
        <v>0</v>
      </c>
    </row>
    <row r="135" spans="1:13" ht="15.75" x14ac:dyDescent="0.3">
      <c r="A135" s="2">
        <v>45434</v>
      </c>
      <c r="B135" s="1">
        <v>25959701</v>
      </c>
      <c r="C135" s="1">
        <v>0</v>
      </c>
      <c r="D135" s="3">
        <f t="shared" ref="D135:D198" si="18">+B135-C135</f>
        <v>25959701</v>
      </c>
      <c r="E135" s="1">
        <v>0</v>
      </c>
      <c r="F135" s="1">
        <v>0</v>
      </c>
      <c r="G135" s="1"/>
      <c r="H135">
        <f t="shared" si="13"/>
        <v>5</v>
      </c>
      <c r="I135" t="str">
        <f t="shared" si="14"/>
        <v/>
      </c>
      <c r="J135" t="str">
        <f t="shared" si="15"/>
        <v/>
      </c>
      <c r="K135" t="str">
        <f t="shared" si="16"/>
        <v/>
      </c>
      <c r="L135" t="str">
        <f t="shared" si="16"/>
        <v/>
      </c>
      <c r="M135" t="b">
        <f t="shared" si="17"/>
        <v>0</v>
      </c>
    </row>
    <row r="136" spans="1:13" ht="15.75" x14ac:dyDescent="0.3">
      <c r="A136" s="2">
        <v>45435</v>
      </c>
      <c r="B136" s="1">
        <v>24189686</v>
      </c>
      <c r="C136" s="1">
        <v>0</v>
      </c>
      <c r="D136" s="3">
        <f t="shared" si="18"/>
        <v>24189686</v>
      </c>
      <c r="E136" s="1">
        <v>0</v>
      </c>
      <c r="F136" s="1">
        <v>0</v>
      </c>
      <c r="G136" s="1"/>
      <c r="H136">
        <f t="shared" si="13"/>
        <v>5</v>
      </c>
      <c r="I136" t="str">
        <f t="shared" si="14"/>
        <v/>
      </c>
      <c r="J136" t="str">
        <f t="shared" si="15"/>
        <v/>
      </c>
      <c r="K136" t="str">
        <f t="shared" si="16"/>
        <v/>
      </c>
      <c r="L136" t="str">
        <f t="shared" si="16"/>
        <v/>
      </c>
      <c r="M136" t="b">
        <f t="shared" si="17"/>
        <v>0</v>
      </c>
    </row>
    <row r="137" spans="1:13" ht="15.75" x14ac:dyDescent="0.3">
      <c r="A137" s="2">
        <v>45436</v>
      </c>
      <c r="B137" s="1">
        <v>24033544</v>
      </c>
      <c r="C137" s="1">
        <v>0</v>
      </c>
      <c r="D137" s="3">
        <f t="shared" si="18"/>
        <v>24033544</v>
      </c>
      <c r="E137" s="1">
        <v>0</v>
      </c>
      <c r="F137" s="1">
        <v>0</v>
      </c>
      <c r="G137" s="1"/>
      <c r="H137">
        <f t="shared" si="13"/>
        <v>5</v>
      </c>
      <c r="I137" t="str">
        <f t="shared" si="14"/>
        <v/>
      </c>
      <c r="J137" t="str">
        <f t="shared" si="15"/>
        <v/>
      </c>
      <c r="K137" t="str">
        <f t="shared" si="16"/>
        <v/>
      </c>
      <c r="L137" t="str">
        <f t="shared" si="16"/>
        <v/>
      </c>
      <c r="M137" t="b">
        <f t="shared" si="17"/>
        <v>0</v>
      </c>
    </row>
    <row r="138" spans="1:13" ht="15.75" x14ac:dyDescent="0.3">
      <c r="A138" s="2">
        <v>45439</v>
      </c>
      <c r="B138" s="1">
        <v>23828419</v>
      </c>
      <c r="C138" s="1">
        <v>0</v>
      </c>
      <c r="D138" s="3">
        <f t="shared" si="18"/>
        <v>23828419</v>
      </c>
      <c r="E138" s="1">
        <v>0</v>
      </c>
      <c r="F138" s="1">
        <v>0</v>
      </c>
      <c r="G138" s="1"/>
      <c r="H138">
        <f t="shared" si="13"/>
        <v>5</v>
      </c>
      <c r="I138" t="str">
        <f t="shared" si="14"/>
        <v/>
      </c>
      <c r="J138" t="str">
        <f t="shared" si="15"/>
        <v/>
      </c>
      <c r="K138" t="str">
        <f t="shared" si="16"/>
        <v/>
      </c>
      <c r="L138" t="str">
        <f t="shared" si="16"/>
        <v/>
      </c>
      <c r="M138" t="b">
        <f t="shared" si="17"/>
        <v>0</v>
      </c>
    </row>
    <row r="139" spans="1:13" ht="15.75" x14ac:dyDescent="0.3">
      <c r="A139" s="2">
        <v>45440</v>
      </c>
      <c r="B139" s="1">
        <v>23567414</v>
      </c>
      <c r="C139" s="1">
        <v>0</v>
      </c>
      <c r="D139" s="3">
        <f t="shared" si="18"/>
        <v>23567414</v>
      </c>
      <c r="E139" s="1">
        <v>0</v>
      </c>
      <c r="F139" s="1">
        <v>0</v>
      </c>
      <c r="G139" s="1"/>
      <c r="H139">
        <f t="shared" si="13"/>
        <v>5</v>
      </c>
      <c r="I139" t="str">
        <f t="shared" si="14"/>
        <v/>
      </c>
      <c r="J139" t="str">
        <f t="shared" si="15"/>
        <v/>
      </c>
      <c r="K139" t="str">
        <f t="shared" si="16"/>
        <v/>
      </c>
      <c r="L139" t="str">
        <f t="shared" si="16"/>
        <v/>
      </c>
      <c r="M139" t="b">
        <f t="shared" si="17"/>
        <v>0</v>
      </c>
    </row>
    <row r="140" spans="1:13" ht="15.75" x14ac:dyDescent="0.3">
      <c r="A140" s="2">
        <v>45441</v>
      </c>
      <c r="B140" s="1">
        <v>23586394</v>
      </c>
      <c r="C140" s="1">
        <v>0</v>
      </c>
      <c r="D140" s="3">
        <f t="shared" si="18"/>
        <v>23586394</v>
      </c>
      <c r="E140" s="1">
        <v>0</v>
      </c>
      <c r="F140" s="1">
        <v>0</v>
      </c>
      <c r="G140" s="1"/>
      <c r="H140">
        <f t="shared" si="13"/>
        <v>5</v>
      </c>
      <c r="I140" t="str">
        <f t="shared" si="14"/>
        <v/>
      </c>
      <c r="J140" t="str">
        <f t="shared" si="15"/>
        <v/>
      </c>
      <c r="K140" t="str">
        <f t="shared" si="16"/>
        <v/>
      </c>
      <c r="L140" t="str">
        <f t="shared" si="16"/>
        <v/>
      </c>
      <c r="M140" t="b">
        <f t="shared" si="17"/>
        <v>0</v>
      </c>
    </row>
    <row r="141" spans="1:13" ht="15.75" x14ac:dyDescent="0.3">
      <c r="A141" s="2">
        <v>45442</v>
      </c>
      <c r="B141" s="1">
        <v>23249828</v>
      </c>
      <c r="C141" s="1">
        <v>0</v>
      </c>
      <c r="D141" s="3">
        <f t="shared" si="18"/>
        <v>23249828</v>
      </c>
      <c r="E141" s="1">
        <v>0</v>
      </c>
      <c r="F141" s="1">
        <v>0</v>
      </c>
      <c r="G141" s="1"/>
      <c r="H141">
        <f t="shared" si="13"/>
        <v>5</v>
      </c>
      <c r="I141" t="str">
        <f t="shared" si="14"/>
        <v/>
      </c>
      <c r="J141" t="str">
        <f t="shared" si="15"/>
        <v/>
      </c>
      <c r="K141" t="str">
        <f t="shared" si="16"/>
        <v/>
      </c>
      <c r="L141" t="str">
        <f t="shared" si="16"/>
        <v/>
      </c>
      <c r="M141" t="b">
        <f t="shared" si="17"/>
        <v>0</v>
      </c>
    </row>
    <row r="142" spans="1:13" ht="15.75" x14ac:dyDescent="0.3">
      <c r="A142" s="2">
        <v>45443</v>
      </c>
      <c r="B142" s="1">
        <v>18489248</v>
      </c>
      <c r="C142" s="1">
        <v>0</v>
      </c>
      <c r="D142" s="3">
        <f t="shared" si="18"/>
        <v>18489248</v>
      </c>
      <c r="E142" s="1">
        <v>0</v>
      </c>
      <c r="F142" s="1">
        <v>0</v>
      </c>
      <c r="G142" s="1"/>
      <c r="H142">
        <f t="shared" si="13"/>
        <v>5</v>
      </c>
      <c r="I142">
        <f t="shared" si="14"/>
        <v>18489248</v>
      </c>
      <c r="J142">
        <f t="shared" si="15"/>
        <v>0</v>
      </c>
      <c r="K142">
        <f t="shared" si="16"/>
        <v>0</v>
      </c>
      <c r="L142">
        <f t="shared" si="16"/>
        <v>0</v>
      </c>
      <c r="M142" t="b">
        <f t="shared" si="17"/>
        <v>1</v>
      </c>
    </row>
    <row r="143" spans="1:13" ht="15.75" x14ac:dyDescent="0.3">
      <c r="A143" s="2">
        <v>45446</v>
      </c>
      <c r="B143" s="1">
        <v>18908246</v>
      </c>
      <c r="C143" s="1">
        <v>0</v>
      </c>
      <c r="D143" s="3">
        <f t="shared" si="18"/>
        <v>18908246</v>
      </c>
      <c r="E143" s="1">
        <v>0</v>
      </c>
      <c r="F143" s="1">
        <v>0</v>
      </c>
      <c r="G143" s="1"/>
      <c r="H143">
        <f t="shared" si="13"/>
        <v>6</v>
      </c>
      <c r="I143" t="str">
        <f t="shared" si="14"/>
        <v/>
      </c>
      <c r="J143" t="str">
        <f t="shared" si="15"/>
        <v/>
      </c>
      <c r="K143" t="str">
        <f t="shared" si="16"/>
        <v/>
      </c>
      <c r="L143" t="str">
        <f t="shared" si="16"/>
        <v/>
      </c>
      <c r="M143" t="b">
        <f t="shared" si="17"/>
        <v>0</v>
      </c>
    </row>
    <row r="144" spans="1:13" ht="15.75" x14ac:dyDescent="0.3">
      <c r="A144" s="2">
        <v>45447</v>
      </c>
      <c r="B144" s="1">
        <v>19037234</v>
      </c>
      <c r="C144" s="1">
        <v>0</v>
      </c>
      <c r="D144" s="3">
        <f t="shared" si="18"/>
        <v>19037234</v>
      </c>
      <c r="E144" s="1">
        <v>0</v>
      </c>
      <c r="F144" s="1">
        <v>0</v>
      </c>
      <c r="G144" s="1"/>
      <c r="H144">
        <f t="shared" si="13"/>
        <v>6</v>
      </c>
      <c r="I144" t="str">
        <f t="shared" si="14"/>
        <v/>
      </c>
      <c r="J144" t="str">
        <f t="shared" si="15"/>
        <v/>
      </c>
      <c r="K144" t="str">
        <f t="shared" si="16"/>
        <v/>
      </c>
      <c r="L144" t="str">
        <f t="shared" si="16"/>
        <v/>
      </c>
      <c r="M144" t="b">
        <f t="shared" si="17"/>
        <v>0</v>
      </c>
    </row>
    <row r="145" spans="1:13" ht="15.75" x14ac:dyDescent="0.3">
      <c r="A145" s="2">
        <v>45448</v>
      </c>
      <c r="B145" s="1">
        <v>18872967</v>
      </c>
      <c r="C145" s="1">
        <v>0</v>
      </c>
      <c r="D145" s="3">
        <f t="shared" si="18"/>
        <v>18872967</v>
      </c>
      <c r="E145" s="1">
        <v>0</v>
      </c>
      <c r="F145" s="1">
        <v>0</v>
      </c>
      <c r="G145" s="1"/>
      <c r="H145">
        <f t="shared" si="13"/>
        <v>6</v>
      </c>
      <c r="I145" t="str">
        <f t="shared" si="14"/>
        <v/>
      </c>
      <c r="J145" t="str">
        <f t="shared" si="15"/>
        <v/>
      </c>
      <c r="K145" t="str">
        <f t="shared" si="16"/>
        <v/>
      </c>
      <c r="L145" t="str">
        <f t="shared" si="16"/>
        <v/>
      </c>
      <c r="M145" t="b">
        <f t="shared" si="17"/>
        <v>0</v>
      </c>
    </row>
    <row r="146" spans="1:13" ht="15.75" x14ac:dyDescent="0.3">
      <c r="A146" s="2">
        <v>45449</v>
      </c>
      <c r="B146" s="1">
        <v>18536364</v>
      </c>
      <c r="C146" s="1">
        <v>0</v>
      </c>
      <c r="D146" s="3">
        <f t="shared" si="18"/>
        <v>18536364</v>
      </c>
      <c r="E146" s="1">
        <v>0</v>
      </c>
      <c r="F146" s="1">
        <v>0</v>
      </c>
      <c r="G146" s="1"/>
      <c r="H146">
        <f t="shared" si="13"/>
        <v>6</v>
      </c>
      <c r="I146" t="str">
        <f t="shared" si="14"/>
        <v/>
      </c>
      <c r="J146" t="str">
        <f t="shared" si="15"/>
        <v/>
      </c>
      <c r="K146" t="str">
        <f t="shared" si="16"/>
        <v/>
      </c>
      <c r="L146" t="str">
        <f t="shared" si="16"/>
        <v/>
      </c>
      <c r="M146" t="b">
        <f t="shared" si="17"/>
        <v>0</v>
      </c>
    </row>
    <row r="147" spans="1:13" ht="15.75" x14ac:dyDescent="0.3">
      <c r="A147" s="2">
        <v>45450</v>
      </c>
      <c r="B147" s="1">
        <v>18020943</v>
      </c>
      <c r="C147" s="1">
        <v>0</v>
      </c>
      <c r="D147" s="3">
        <f t="shared" si="18"/>
        <v>18020943</v>
      </c>
      <c r="E147" s="1">
        <v>0</v>
      </c>
      <c r="F147" s="1">
        <v>0</v>
      </c>
      <c r="G147" s="1"/>
      <c r="H147">
        <f t="shared" si="13"/>
        <v>6</v>
      </c>
      <c r="I147" t="str">
        <f t="shared" si="14"/>
        <v/>
      </c>
      <c r="J147" t="str">
        <f t="shared" si="15"/>
        <v/>
      </c>
      <c r="K147" t="str">
        <f t="shared" si="16"/>
        <v/>
      </c>
      <c r="L147" t="str">
        <f t="shared" si="16"/>
        <v/>
      </c>
      <c r="M147" t="b">
        <f t="shared" si="17"/>
        <v>0</v>
      </c>
    </row>
    <row r="148" spans="1:13" ht="15.75" x14ac:dyDescent="0.3">
      <c r="A148" s="2">
        <v>45453</v>
      </c>
      <c r="B148" s="1">
        <v>19134684</v>
      </c>
      <c r="C148" s="1">
        <v>0</v>
      </c>
      <c r="D148" s="3">
        <f t="shared" si="18"/>
        <v>19134684</v>
      </c>
      <c r="E148" s="1">
        <v>0</v>
      </c>
      <c r="F148" s="1">
        <v>0</v>
      </c>
      <c r="G148" s="1"/>
      <c r="H148">
        <f t="shared" si="13"/>
        <v>6</v>
      </c>
      <c r="I148" t="str">
        <f t="shared" si="14"/>
        <v/>
      </c>
      <c r="J148" t="str">
        <f t="shared" si="15"/>
        <v/>
      </c>
      <c r="K148" t="str">
        <f t="shared" si="16"/>
        <v/>
      </c>
      <c r="L148" t="str">
        <f t="shared" si="16"/>
        <v/>
      </c>
      <c r="M148" t="b">
        <f t="shared" si="17"/>
        <v>0</v>
      </c>
    </row>
    <row r="149" spans="1:13" ht="15.75" x14ac:dyDescent="0.3">
      <c r="A149" s="2">
        <v>45454</v>
      </c>
      <c r="B149" s="1">
        <v>19391557</v>
      </c>
      <c r="C149" s="1">
        <v>0</v>
      </c>
      <c r="D149" s="3">
        <f t="shared" si="18"/>
        <v>19391557</v>
      </c>
      <c r="E149" s="1">
        <v>0</v>
      </c>
      <c r="F149" s="1">
        <v>0</v>
      </c>
      <c r="G149" s="1"/>
      <c r="H149">
        <f t="shared" si="13"/>
        <v>6</v>
      </c>
      <c r="I149" t="str">
        <f t="shared" si="14"/>
        <v/>
      </c>
      <c r="J149" t="str">
        <f t="shared" si="15"/>
        <v/>
      </c>
      <c r="K149" t="str">
        <f t="shared" si="16"/>
        <v/>
      </c>
      <c r="L149" t="str">
        <f t="shared" si="16"/>
        <v/>
      </c>
      <c r="M149" t="b">
        <f t="shared" si="17"/>
        <v>0</v>
      </c>
    </row>
    <row r="150" spans="1:13" ht="15.75" x14ac:dyDescent="0.3">
      <c r="A150" s="2">
        <v>45455</v>
      </c>
      <c r="B150" s="1">
        <v>18597026</v>
      </c>
      <c r="C150" s="1">
        <v>0</v>
      </c>
      <c r="D150" s="3">
        <f t="shared" si="18"/>
        <v>18597026</v>
      </c>
      <c r="E150" s="1">
        <v>0</v>
      </c>
      <c r="F150" s="1">
        <v>0</v>
      </c>
      <c r="G150" s="1"/>
      <c r="H150">
        <f t="shared" si="13"/>
        <v>6</v>
      </c>
      <c r="I150" t="str">
        <f t="shared" si="14"/>
        <v/>
      </c>
      <c r="J150" t="str">
        <f t="shared" si="15"/>
        <v/>
      </c>
      <c r="K150" t="str">
        <f t="shared" si="16"/>
        <v/>
      </c>
      <c r="L150" t="str">
        <f t="shared" si="16"/>
        <v/>
      </c>
      <c r="M150" t="b">
        <f t="shared" si="17"/>
        <v>0</v>
      </c>
    </row>
    <row r="151" spans="1:13" ht="15.75" x14ac:dyDescent="0.3">
      <c r="A151" s="2">
        <v>45456</v>
      </c>
      <c r="B151" s="1">
        <v>18940720</v>
      </c>
      <c r="C151" s="1">
        <v>0</v>
      </c>
      <c r="D151" s="3">
        <f t="shared" si="18"/>
        <v>18940720</v>
      </c>
      <c r="E151" s="1">
        <v>0</v>
      </c>
      <c r="F151" s="1">
        <v>0</v>
      </c>
      <c r="G151" s="1"/>
      <c r="H151">
        <f t="shared" si="13"/>
        <v>6</v>
      </c>
      <c r="I151" t="str">
        <f t="shared" si="14"/>
        <v/>
      </c>
      <c r="J151" t="str">
        <f t="shared" si="15"/>
        <v/>
      </c>
      <c r="K151" t="str">
        <f t="shared" si="16"/>
        <v/>
      </c>
      <c r="L151" t="str">
        <f t="shared" si="16"/>
        <v/>
      </c>
      <c r="M151" t="b">
        <f t="shared" si="17"/>
        <v>0</v>
      </c>
    </row>
    <row r="152" spans="1:13" ht="15.75" x14ac:dyDescent="0.3">
      <c r="A152" s="2">
        <v>45457</v>
      </c>
      <c r="B152" s="1">
        <v>16974131</v>
      </c>
      <c r="C152" s="1">
        <v>0</v>
      </c>
      <c r="D152" s="3">
        <f t="shared" si="18"/>
        <v>16974131</v>
      </c>
      <c r="E152" s="1">
        <v>0</v>
      </c>
      <c r="F152" s="1">
        <v>0</v>
      </c>
      <c r="G152" s="1"/>
      <c r="H152">
        <f t="shared" si="13"/>
        <v>6</v>
      </c>
      <c r="I152" t="str">
        <f t="shared" si="14"/>
        <v/>
      </c>
      <c r="J152" t="str">
        <f t="shared" si="15"/>
        <v/>
      </c>
      <c r="K152" t="str">
        <f t="shared" si="16"/>
        <v/>
      </c>
      <c r="L152" t="str">
        <f t="shared" si="16"/>
        <v/>
      </c>
      <c r="M152" t="b">
        <f t="shared" si="17"/>
        <v>0</v>
      </c>
    </row>
    <row r="153" spans="1:13" ht="15.75" x14ac:dyDescent="0.3">
      <c r="A153" s="2">
        <v>45461</v>
      </c>
      <c r="B153" s="1">
        <v>17720526</v>
      </c>
      <c r="C153" s="1">
        <v>0</v>
      </c>
      <c r="D153" s="3">
        <f t="shared" si="18"/>
        <v>17720526</v>
      </c>
      <c r="E153" s="1">
        <v>0</v>
      </c>
      <c r="F153" s="1">
        <v>0</v>
      </c>
      <c r="G153" s="1"/>
      <c r="H153">
        <f t="shared" si="13"/>
        <v>6</v>
      </c>
      <c r="I153" t="str">
        <f t="shared" si="14"/>
        <v/>
      </c>
      <c r="J153" t="str">
        <f t="shared" si="15"/>
        <v/>
      </c>
      <c r="K153" t="str">
        <f t="shared" si="16"/>
        <v/>
      </c>
      <c r="L153" t="str">
        <f t="shared" si="16"/>
        <v/>
      </c>
      <c r="M153" t="b">
        <f t="shared" si="17"/>
        <v>0</v>
      </c>
    </row>
    <row r="154" spans="1:13" ht="15.75" x14ac:dyDescent="0.3">
      <c r="A154" s="2">
        <v>45462</v>
      </c>
      <c r="B154" s="1">
        <v>17339036</v>
      </c>
      <c r="C154" s="1">
        <v>0</v>
      </c>
      <c r="D154" s="3">
        <f t="shared" si="18"/>
        <v>17339036</v>
      </c>
      <c r="E154" s="1">
        <v>0</v>
      </c>
      <c r="F154" s="1">
        <v>0</v>
      </c>
      <c r="G154" s="1"/>
      <c r="H154">
        <f t="shared" si="13"/>
        <v>6</v>
      </c>
      <c r="I154" t="str">
        <f t="shared" si="14"/>
        <v/>
      </c>
      <c r="J154" t="str">
        <f t="shared" si="15"/>
        <v/>
      </c>
      <c r="K154" t="str">
        <f t="shared" si="16"/>
        <v/>
      </c>
      <c r="L154" t="str">
        <f t="shared" si="16"/>
        <v/>
      </c>
      <c r="M154" t="b">
        <f t="shared" si="17"/>
        <v>0</v>
      </c>
    </row>
    <row r="155" spans="1:13" ht="15.75" x14ac:dyDescent="0.3">
      <c r="A155" s="2">
        <v>45467</v>
      </c>
      <c r="B155" s="1">
        <v>18126910</v>
      </c>
      <c r="C155" s="1">
        <v>0</v>
      </c>
      <c r="D155" s="3">
        <f t="shared" si="18"/>
        <v>18126910</v>
      </c>
      <c r="E155" s="1">
        <v>0</v>
      </c>
      <c r="F155" s="1">
        <v>0</v>
      </c>
      <c r="G155" s="1"/>
      <c r="H155">
        <f t="shared" si="13"/>
        <v>6</v>
      </c>
      <c r="I155" t="str">
        <f t="shared" si="14"/>
        <v/>
      </c>
      <c r="J155" t="str">
        <f t="shared" si="15"/>
        <v/>
      </c>
      <c r="K155" t="str">
        <f t="shared" si="16"/>
        <v/>
      </c>
      <c r="L155" t="str">
        <f t="shared" si="16"/>
        <v/>
      </c>
      <c r="M155" t="b">
        <f t="shared" si="17"/>
        <v>0</v>
      </c>
    </row>
    <row r="156" spans="1:13" ht="15.75" x14ac:dyDescent="0.3">
      <c r="A156" s="2">
        <v>45468</v>
      </c>
      <c r="B156" s="1">
        <v>17954638</v>
      </c>
      <c r="C156" s="1">
        <v>0</v>
      </c>
      <c r="D156" s="3">
        <f t="shared" si="18"/>
        <v>17954638</v>
      </c>
      <c r="E156" s="1">
        <v>0</v>
      </c>
      <c r="F156" s="1">
        <v>0</v>
      </c>
      <c r="G156" s="1"/>
      <c r="H156">
        <f t="shared" si="13"/>
        <v>6</v>
      </c>
      <c r="I156" t="str">
        <f t="shared" si="14"/>
        <v/>
      </c>
      <c r="J156" t="str">
        <f t="shared" si="15"/>
        <v/>
      </c>
      <c r="K156" t="str">
        <f t="shared" si="16"/>
        <v/>
      </c>
      <c r="L156" t="str">
        <f t="shared" si="16"/>
        <v/>
      </c>
      <c r="M156" t="b">
        <f t="shared" si="17"/>
        <v>0</v>
      </c>
    </row>
    <row r="157" spans="1:13" ht="15.75" x14ac:dyDescent="0.3">
      <c r="A157" s="2">
        <v>45469</v>
      </c>
      <c r="B157" s="1">
        <v>17622540</v>
      </c>
      <c r="C157" s="1">
        <v>0</v>
      </c>
      <c r="D157" s="3">
        <f t="shared" si="18"/>
        <v>17622540</v>
      </c>
      <c r="E157" s="1">
        <v>0</v>
      </c>
      <c r="F157" s="1">
        <v>0</v>
      </c>
      <c r="G157" s="1"/>
      <c r="H157">
        <f t="shared" si="13"/>
        <v>6</v>
      </c>
      <c r="I157" t="str">
        <f t="shared" si="14"/>
        <v/>
      </c>
      <c r="J157" t="str">
        <f t="shared" si="15"/>
        <v/>
      </c>
      <c r="K157" t="str">
        <f t="shared" si="16"/>
        <v/>
      </c>
      <c r="L157" t="str">
        <f t="shared" si="16"/>
        <v/>
      </c>
      <c r="M157" t="b">
        <f t="shared" si="17"/>
        <v>0</v>
      </c>
    </row>
    <row r="158" spans="1:13" ht="15.75" x14ac:dyDescent="0.3">
      <c r="A158" s="2">
        <v>45470</v>
      </c>
      <c r="B158" s="1">
        <v>17524697</v>
      </c>
      <c r="C158" s="1">
        <v>0</v>
      </c>
      <c r="D158" s="3">
        <f t="shared" si="18"/>
        <v>17524697</v>
      </c>
      <c r="E158" s="1">
        <v>0</v>
      </c>
      <c r="F158" s="1">
        <v>0</v>
      </c>
      <c r="G158" s="1"/>
      <c r="H158">
        <f t="shared" si="13"/>
        <v>6</v>
      </c>
      <c r="I158" t="str">
        <f t="shared" si="14"/>
        <v/>
      </c>
      <c r="J158" t="str">
        <f t="shared" si="15"/>
        <v/>
      </c>
      <c r="K158" t="str">
        <f t="shared" si="16"/>
        <v/>
      </c>
      <c r="L158" t="str">
        <f t="shared" si="16"/>
        <v/>
      </c>
      <c r="M158" t="b">
        <f t="shared" si="17"/>
        <v>0</v>
      </c>
    </row>
    <row r="159" spans="1:13" ht="15.75" x14ac:dyDescent="0.3">
      <c r="A159" s="2">
        <v>45471</v>
      </c>
      <c r="B159" s="1">
        <v>15880749</v>
      </c>
      <c r="C159" s="1">
        <v>0</v>
      </c>
      <c r="D159" s="3">
        <f t="shared" si="18"/>
        <v>15880749</v>
      </c>
      <c r="E159" s="1">
        <v>0</v>
      </c>
      <c r="F159" s="1">
        <v>0</v>
      </c>
      <c r="G159" s="1"/>
      <c r="H159">
        <f t="shared" si="13"/>
        <v>6</v>
      </c>
      <c r="I159">
        <f t="shared" si="14"/>
        <v>15880749</v>
      </c>
      <c r="J159">
        <f t="shared" si="15"/>
        <v>0</v>
      </c>
      <c r="K159">
        <f t="shared" si="16"/>
        <v>0</v>
      </c>
      <c r="L159">
        <f t="shared" si="16"/>
        <v>0</v>
      </c>
      <c r="M159" t="b">
        <f t="shared" si="17"/>
        <v>1</v>
      </c>
    </row>
    <row r="160" spans="1:13" ht="15.75" x14ac:dyDescent="0.3">
      <c r="A160" s="2">
        <v>45474</v>
      </c>
      <c r="B160" s="1">
        <v>10991028</v>
      </c>
      <c r="C160" s="1">
        <v>0</v>
      </c>
      <c r="D160" s="3">
        <f t="shared" si="18"/>
        <v>10991028</v>
      </c>
      <c r="E160" s="1">
        <v>0</v>
      </c>
      <c r="F160" s="1">
        <v>0</v>
      </c>
      <c r="G160" s="1"/>
      <c r="H160">
        <f t="shared" si="13"/>
        <v>7</v>
      </c>
      <c r="I160" t="str">
        <f t="shared" si="14"/>
        <v/>
      </c>
      <c r="J160" t="str">
        <f t="shared" si="15"/>
        <v/>
      </c>
      <c r="K160" t="str">
        <f t="shared" si="16"/>
        <v/>
      </c>
      <c r="L160" t="str">
        <f t="shared" si="16"/>
        <v/>
      </c>
      <c r="M160" t="b">
        <f t="shared" si="17"/>
        <v>0</v>
      </c>
    </row>
    <row r="161" spans="1:13" ht="15.75" x14ac:dyDescent="0.3">
      <c r="A161" s="2">
        <v>45475</v>
      </c>
      <c r="B161" s="1">
        <v>13435523</v>
      </c>
      <c r="C161" s="1">
        <v>0</v>
      </c>
      <c r="D161" s="3">
        <f t="shared" si="18"/>
        <v>13435523</v>
      </c>
      <c r="E161" s="1">
        <v>0</v>
      </c>
      <c r="F161" s="1">
        <v>0</v>
      </c>
      <c r="G161" s="1"/>
      <c r="H161">
        <f t="shared" si="13"/>
        <v>7</v>
      </c>
      <c r="I161" t="str">
        <f t="shared" si="14"/>
        <v/>
      </c>
      <c r="J161" t="str">
        <f t="shared" si="15"/>
        <v/>
      </c>
      <c r="K161" t="str">
        <f t="shared" si="16"/>
        <v/>
      </c>
      <c r="L161" t="str">
        <f t="shared" si="16"/>
        <v/>
      </c>
      <c r="M161" t="b">
        <f t="shared" si="17"/>
        <v>0</v>
      </c>
    </row>
    <row r="162" spans="1:13" ht="15.75" x14ac:dyDescent="0.3">
      <c r="A162" s="2">
        <v>45476</v>
      </c>
      <c r="B162" s="1">
        <v>13280044</v>
      </c>
      <c r="C162" s="1">
        <v>0</v>
      </c>
      <c r="D162" s="3">
        <f t="shared" si="18"/>
        <v>13280044</v>
      </c>
      <c r="E162" s="1">
        <v>0</v>
      </c>
      <c r="F162" s="1">
        <v>0</v>
      </c>
      <c r="G162" s="1"/>
      <c r="H162">
        <f t="shared" si="13"/>
        <v>7</v>
      </c>
      <c r="I162" t="str">
        <f t="shared" si="14"/>
        <v/>
      </c>
      <c r="J162" t="str">
        <f t="shared" si="15"/>
        <v/>
      </c>
      <c r="K162" t="str">
        <f t="shared" si="16"/>
        <v/>
      </c>
      <c r="L162" t="str">
        <f t="shared" si="16"/>
        <v/>
      </c>
      <c r="M162" t="b">
        <f t="shared" si="17"/>
        <v>0</v>
      </c>
    </row>
    <row r="163" spans="1:13" ht="15.75" x14ac:dyDescent="0.3">
      <c r="A163" s="2">
        <v>45477</v>
      </c>
      <c r="B163" s="1">
        <v>13497279</v>
      </c>
      <c r="C163" s="1">
        <v>0</v>
      </c>
      <c r="D163" s="3">
        <f t="shared" si="18"/>
        <v>13497279</v>
      </c>
      <c r="E163" s="1">
        <v>0</v>
      </c>
      <c r="F163" s="1">
        <v>0</v>
      </c>
      <c r="G163" s="1"/>
      <c r="H163">
        <f t="shared" si="13"/>
        <v>7</v>
      </c>
      <c r="I163" t="str">
        <f t="shared" si="14"/>
        <v/>
      </c>
      <c r="J163" t="str">
        <f t="shared" si="15"/>
        <v/>
      </c>
      <c r="K163" t="str">
        <f t="shared" si="16"/>
        <v/>
      </c>
      <c r="L163" t="str">
        <f t="shared" si="16"/>
        <v/>
      </c>
      <c r="M163" t="b">
        <f t="shared" si="17"/>
        <v>0</v>
      </c>
    </row>
    <row r="164" spans="1:13" ht="15.75" x14ac:dyDescent="0.3">
      <c r="A164" s="2">
        <v>45478</v>
      </c>
      <c r="B164" s="1">
        <v>13336715</v>
      </c>
      <c r="C164" s="1">
        <v>0</v>
      </c>
      <c r="D164" s="3">
        <f t="shared" si="18"/>
        <v>13336715</v>
      </c>
      <c r="E164" s="1">
        <v>0</v>
      </c>
      <c r="F164" s="1">
        <v>0</v>
      </c>
      <c r="G164" s="1"/>
      <c r="H164">
        <f t="shared" si="13"/>
        <v>7</v>
      </c>
      <c r="I164" t="str">
        <f t="shared" si="14"/>
        <v/>
      </c>
      <c r="J164" t="str">
        <f t="shared" si="15"/>
        <v/>
      </c>
      <c r="K164" t="str">
        <f t="shared" si="16"/>
        <v/>
      </c>
      <c r="L164" t="str">
        <f t="shared" si="16"/>
        <v/>
      </c>
      <c r="M164" t="b">
        <f t="shared" si="17"/>
        <v>0</v>
      </c>
    </row>
    <row r="165" spans="1:13" ht="15.75" x14ac:dyDescent="0.3">
      <c r="A165" s="2">
        <v>45481</v>
      </c>
      <c r="B165" s="1">
        <v>13333994</v>
      </c>
      <c r="C165" s="1">
        <v>0</v>
      </c>
      <c r="D165" s="3">
        <f t="shared" si="18"/>
        <v>13333994</v>
      </c>
      <c r="E165" s="1">
        <v>0</v>
      </c>
      <c r="F165" s="1">
        <v>0</v>
      </c>
      <c r="G165" s="1"/>
      <c r="H165">
        <f t="shared" si="13"/>
        <v>7</v>
      </c>
      <c r="I165" t="str">
        <f t="shared" si="14"/>
        <v/>
      </c>
      <c r="J165" t="str">
        <f t="shared" si="15"/>
        <v/>
      </c>
      <c r="K165" t="str">
        <f t="shared" si="16"/>
        <v/>
      </c>
      <c r="L165" t="str">
        <f t="shared" si="16"/>
        <v/>
      </c>
      <c r="M165" t="b">
        <f t="shared" si="17"/>
        <v>0</v>
      </c>
    </row>
    <row r="166" spans="1:13" ht="15.75" x14ac:dyDescent="0.3">
      <c r="A166" s="2">
        <v>45483</v>
      </c>
      <c r="B166" s="1">
        <v>14016521</v>
      </c>
      <c r="C166" s="1">
        <v>0</v>
      </c>
      <c r="D166" s="3">
        <f t="shared" si="18"/>
        <v>14016521</v>
      </c>
      <c r="E166" s="1">
        <v>0</v>
      </c>
      <c r="F166" s="1">
        <v>0</v>
      </c>
      <c r="G166" s="1"/>
      <c r="H166">
        <f t="shared" si="13"/>
        <v>7</v>
      </c>
      <c r="I166" t="str">
        <f t="shared" si="14"/>
        <v/>
      </c>
      <c r="J166" t="str">
        <f t="shared" si="15"/>
        <v/>
      </c>
      <c r="K166" t="str">
        <f t="shared" si="16"/>
        <v/>
      </c>
      <c r="L166" t="str">
        <f t="shared" si="16"/>
        <v/>
      </c>
      <c r="M166" t="b">
        <f t="shared" si="17"/>
        <v>0</v>
      </c>
    </row>
    <row r="167" spans="1:13" ht="15.75" x14ac:dyDescent="0.3">
      <c r="A167" s="2">
        <v>45484</v>
      </c>
      <c r="B167" s="1">
        <v>14282360</v>
      </c>
      <c r="C167" s="1">
        <v>0</v>
      </c>
      <c r="D167" s="3">
        <f t="shared" si="18"/>
        <v>14282360</v>
      </c>
      <c r="E167" s="1">
        <v>0</v>
      </c>
      <c r="F167" s="1">
        <v>0</v>
      </c>
      <c r="G167" s="1"/>
      <c r="H167">
        <f t="shared" si="13"/>
        <v>7</v>
      </c>
      <c r="I167" t="str">
        <f t="shared" si="14"/>
        <v/>
      </c>
      <c r="J167" t="str">
        <f t="shared" si="15"/>
        <v/>
      </c>
      <c r="K167" t="str">
        <f t="shared" si="16"/>
        <v/>
      </c>
      <c r="L167" t="str">
        <f t="shared" si="16"/>
        <v/>
      </c>
      <c r="M167" t="b">
        <f t="shared" si="17"/>
        <v>0</v>
      </c>
    </row>
    <row r="168" spans="1:13" ht="15.75" x14ac:dyDescent="0.3">
      <c r="A168" s="2">
        <v>45485</v>
      </c>
      <c r="B168" s="1">
        <v>10722168</v>
      </c>
      <c r="C168" s="1">
        <v>0</v>
      </c>
      <c r="D168" s="3">
        <f t="shared" si="18"/>
        <v>10722168</v>
      </c>
      <c r="E168" s="1">
        <v>0</v>
      </c>
      <c r="F168" s="1">
        <v>0</v>
      </c>
      <c r="G168" s="1"/>
      <c r="H168">
        <f t="shared" si="13"/>
        <v>7</v>
      </c>
      <c r="I168" t="str">
        <f t="shared" si="14"/>
        <v/>
      </c>
      <c r="J168" t="str">
        <f t="shared" si="15"/>
        <v/>
      </c>
      <c r="K168" t="str">
        <f t="shared" si="16"/>
        <v/>
      </c>
      <c r="L168" t="str">
        <f t="shared" si="16"/>
        <v/>
      </c>
      <c r="M168" t="b">
        <f t="shared" si="17"/>
        <v>0</v>
      </c>
    </row>
    <row r="169" spans="1:13" ht="15.75" x14ac:dyDescent="0.3">
      <c r="A169" s="2">
        <v>45488</v>
      </c>
      <c r="B169" s="1">
        <v>11316507</v>
      </c>
      <c r="C169" s="1">
        <v>0</v>
      </c>
      <c r="D169" s="3">
        <f t="shared" si="18"/>
        <v>11316507</v>
      </c>
      <c r="E169" s="1">
        <v>0</v>
      </c>
      <c r="F169" s="1">
        <v>0</v>
      </c>
      <c r="G169" s="1"/>
      <c r="H169">
        <f t="shared" si="13"/>
        <v>7</v>
      </c>
      <c r="I169" t="str">
        <f t="shared" si="14"/>
        <v/>
      </c>
      <c r="J169" t="str">
        <f t="shared" si="15"/>
        <v/>
      </c>
      <c r="K169" t="str">
        <f t="shared" si="16"/>
        <v/>
      </c>
      <c r="L169" t="str">
        <f t="shared" si="16"/>
        <v/>
      </c>
      <c r="M169" t="b">
        <f t="shared" si="17"/>
        <v>0</v>
      </c>
    </row>
    <row r="170" spans="1:13" ht="15.75" x14ac:dyDescent="0.3">
      <c r="A170" s="2">
        <v>45489</v>
      </c>
      <c r="B170" s="1">
        <v>11751473</v>
      </c>
      <c r="C170" s="1">
        <v>0</v>
      </c>
      <c r="D170" s="3">
        <f t="shared" si="18"/>
        <v>11751473</v>
      </c>
      <c r="E170" s="1">
        <v>0</v>
      </c>
      <c r="F170" s="1">
        <v>0</v>
      </c>
      <c r="G170" s="1"/>
      <c r="H170">
        <f t="shared" si="13"/>
        <v>7</v>
      </c>
      <c r="I170" t="str">
        <f t="shared" si="14"/>
        <v/>
      </c>
      <c r="J170" t="str">
        <f t="shared" si="15"/>
        <v/>
      </c>
      <c r="K170" t="str">
        <f t="shared" si="16"/>
        <v/>
      </c>
      <c r="L170" t="str">
        <f t="shared" si="16"/>
        <v/>
      </c>
      <c r="M170" t="b">
        <f t="shared" si="17"/>
        <v>0</v>
      </c>
    </row>
    <row r="171" spans="1:13" ht="15.75" x14ac:dyDescent="0.3">
      <c r="A171" s="2">
        <v>45490</v>
      </c>
      <c r="B171" s="1">
        <v>11527711</v>
      </c>
      <c r="C171" s="1">
        <v>0</v>
      </c>
      <c r="D171" s="3">
        <f t="shared" si="18"/>
        <v>11527711</v>
      </c>
      <c r="E171" s="1">
        <v>0</v>
      </c>
      <c r="F171" s="1">
        <v>0</v>
      </c>
      <c r="G171" s="1"/>
      <c r="H171">
        <f t="shared" si="13"/>
        <v>7</v>
      </c>
      <c r="I171" t="str">
        <f t="shared" si="14"/>
        <v/>
      </c>
      <c r="J171" t="str">
        <f t="shared" si="15"/>
        <v/>
      </c>
      <c r="K171" t="str">
        <f t="shared" si="16"/>
        <v/>
      </c>
      <c r="L171" t="str">
        <f t="shared" si="16"/>
        <v/>
      </c>
      <c r="M171" t="b">
        <f t="shared" si="17"/>
        <v>0</v>
      </c>
    </row>
    <row r="172" spans="1:13" ht="15.75" x14ac:dyDescent="0.3">
      <c r="A172" s="2">
        <v>45491</v>
      </c>
      <c r="B172" s="1">
        <v>11277559</v>
      </c>
      <c r="C172" s="1">
        <v>0</v>
      </c>
      <c r="D172" s="3">
        <f t="shared" si="18"/>
        <v>11277559</v>
      </c>
      <c r="E172" s="1">
        <v>0</v>
      </c>
      <c r="F172" s="1">
        <v>0</v>
      </c>
      <c r="G172" s="1"/>
      <c r="H172">
        <f t="shared" si="13"/>
        <v>7</v>
      </c>
      <c r="I172" t="str">
        <f t="shared" si="14"/>
        <v/>
      </c>
      <c r="J172" t="str">
        <f t="shared" si="15"/>
        <v/>
      </c>
      <c r="K172" t="str">
        <f t="shared" si="16"/>
        <v/>
      </c>
      <c r="L172" t="str">
        <f t="shared" si="16"/>
        <v/>
      </c>
      <c r="M172" t="b">
        <f t="shared" si="17"/>
        <v>0</v>
      </c>
    </row>
    <row r="173" spans="1:13" ht="15.75" x14ac:dyDescent="0.3">
      <c r="A173" s="2">
        <v>45492</v>
      </c>
      <c r="B173" s="1">
        <v>10852704</v>
      </c>
      <c r="C173" s="1">
        <v>0</v>
      </c>
      <c r="D173" s="3">
        <f t="shared" si="18"/>
        <v>10852704</v>
      </c>
      <c r="E173" s="1">
        <v>0</v>
      </c>
      <c r="F173" s="1">
        <v>0</v>
      </c>
      <c r="G173" s="1"/>
      <c r="H173">
        <f t="shared" si="13"/>
        <v>7</v>
      </c>
      <c r="I173" t="str">
        <f t="shared" si="14"/>
        <v/>
      </c>
      <c r="J173" t="str">
        <f t="shared" si="15"/>
        <v/>
      </c>
      <c r="K173" t="str">
        <f t="shared" si="16"/>
        <v/>
      </c>
      <c r="L173" t="str">
        <f t="shared" si="16"/>
        <v/>
      </c>
      <c r="M173" t="b">
        <f t="shared" si="17"/>
        <v>0</v>
      </c>
    </row>
    <row r="174" spans="1:13" ht="15.75" x14ac:dyDescent="0.3">
      <c r="A174" s="2">
        <v>45495</v>
      </c>
      <c r="B174" s="1">
        <v>0</v>
      </c>
      <c r="C174" s="1">
        <v>82</v>
      </c>
      <c r="D174" s="3">
        <f t="shared" si="18"/>
        <v>-82</v>
      </c>
      <c r="E174" s="1">
        <v>0</v>
      </c>
      <c r="F174" s="1">
        <v>10852365.406268129</v>
      </c>
      <c r="G174" s="1"/>
      <c r="H174">
        <f t="shared" si="13"/>
        <v>7</v>
      </c>
      <c r="I174" t="str">
        <f t="shared" si="14"/>
        <v/>
      </c>
      <c r="J174" t="str">
        <f t="shared" si="15"/>
        <v/>
      </c>
      <c r="K174" t="str">
        <f t="shared" si="16"/>
        <v/>
      </c>
      <c r="L174" t="str">
        <f t="shared" si="16"/>
        <v/>
      </c>
      <c r="M174" t="b">
        <f t="shared" si="17"/>
        <v>0</v>
      </c>
    </row>
    <row r="175" spans="1:13" ht="15.75" x14ac:dyDescent="0.3">
      <c r="A175" s="2">
        <v>45496</v>
      </c>
      <c r="B175" s="1">
        <v>0</v>
      </c>
      <c r="C175" s="1">
        <v>0.9</v>
      </c>
      <c r="D175" s="3">
        <f t="shared" si="18"/>
        <v>-0.9</v>
      </c>
      <c r="E175" s="1">
        <v>0</v>
      </c>
      <c r="F175" s="1">
        <v>11454544.424782719</v>
      </c>
      <c r="G175" s="1"/>
      <c r="H175">
        <f t="shared" si="13"/>
        <v>7</v>
      </c>
      <c r="I175" t="str">
        <f t="shared" si="14"/>
        <v/>
      </c>
      <c r="J175" t="str">
        <f t="shared" si="15"/>
        <v/>
      </c>
      <c r="K175" t="str">
        <f t="shared" si="16"/>
        <v/>
      </c>
      <c r="L175" t="str">
        <f t="shared" si="16"/>
        <v/>
      </c>
      <c r="M175" t="b">
        <f t="shared" si="17"/>
        <v>0</v>
      </c>
    </row>
    <row r="176" spans="1:13" ht="15.75" x14ac:dyDescent="0.3">
      <c r="A176" s="2">
        <v>45497</v>
      </c>
      <c r="B176" s="1">
        <v>0</v>
      </c>
      <c r="C176" s="1">
        <v>0.9</v>
      </c>
      <c r="D176" s="3">
        <f t="shared" si="18"/>
        <v>-0.9</v>
      </c>
      <c r="E176" s="1">
        <v>0</v>
      </c>
      <c r="F176" s="1">
        <v>11792148.06666382</v>
      </c>
      <c r="G176" s="1"/>
      <c r="H176">
        <f t="shared" si="13"/>
        <v>7</v>
      </c>
      <c r="I176" t="str">
        <f t="shared" si="14"/>
        <v/>
      </c>
      <c r="J176" t="str">
        <f t="shared" si="15"/>
        <v/>
      </c>
      <c r="K176" t="str">
        <f t="shared" si="16"/>
        <v/>
      </c>
      <c r="L176" t="str">
        <f t="shared" si="16"/>
        <v/>
      </c>
      <c r="M176" t="b">
        <f t="shared" si="17"/>
        <v>0</v>
      </c>
    </row>
    <row r="177" spans="1:13" ht="15.75" x14ac:dyDescent="0.3">
      <c r="A177" s="2">
        <v>45498</v>
      </c>
      <c r="B177" s="1">
        <v>0</v>
      </c>
      <c r="C177" s="1">
        <v>96.4</v>
      </c>
      <c r="D177" s="3">
        <f t="shared" si="18"/>
        <v>-96.4</v>
      </c>
      <c r="E177" s="1">
        <v>0</v>
      </c>
      <c r="F177" s="1">
        <v>11920604.465522479</v>
      </c>
      <c r="G177" s="1"/>
      <c r="H177">
        <f t="shared" si="13"/>
        <v>7</v>
      </c>
      <c r="I177" t="str">
        <f t="shared" si="14"/>
        <v/>
      </c>
      <c r="J177" t="str">
        <f t="shared" si="15"/>
        <v/>
      </c>
      <c r="K177" t="str">
        <f t="shared" si="16"/>
        <v/>
      </c>
      <c r="L177" t="str">
        <f t="shared" si="16"/>
        <v/>
      </c>
      <c r="M177" t="b">
        <f t="shared" si="17"/>
        <v>0</v>
      </c>
    </row>
    <row r="178" spans="1:13" ht="15.75" x14ac:dyDescent="0.3">
      <c r="A178" s="2">
        <v>45499</v>
      </c>
      <c r="B178" s="1">
        <v>0</v>
      </c>
      <c r="C178" s="1">
        <v>0</v>
      </c>
      <c r="D178" s="3">
        <f t="shared" si="18"/>
        <v>0</v>
      </c>
      <c r="E178" s="1">
        <v>0</v>
      </c>
      <c r="F178" s="1">
        <v>10985927.10588916</v>
      </c>
      <c r="G178" s="1"/>
      <c r="H178">
        <f t="shared" si="13"/>
        <v>7</v>
      </c>
      <c r="I178" t="str">
        <f t="shared" si="14"/>
        <v/>
      </c>
      <c r="J178" t="str">
        <f t="shared" si="15"/>
        <v/>
      </c>
      <c r="K178" t="str">
        <f t="shared" si="16"/>
        <v/>
      </c>
      <c r="L178" t="str">
        <f t="shared" si="16"/>
        <v/>
      </c>
      <c r="M178" t="b">
        <f t="shared" si="17"/>
        <v>0</v>
      </c>
    </row>
    <row r="179" spans="1:13" ht="15.75" x14ac:dyDescent="0.3">
      <c r="A179" s="2">
        <v>45502</v>
      </c>
      <c r="B179" s="1">
        <v>0</v>
      </c>
      <c r="C179" s="1">
        <v>0</v>
      </c>
      <c r="D179" s="3">
        <f t="shared" si="18"/>
        <v>0</v>
      </c>
      <c r="E179" s="1">
        <v>0</v>
      </c>
      <c r="F179" s="1">
        <v>10674539.74844873</v>
      </c>
      <c r="G179" s="1"/>
      <c r="H179">
        <f t="shared" si="13"/>
        <v>7</v>
      </c>
      <c r="I179" t="str">
        <f t="shared" si="14"/>
        <v/>
      </c>
      <c r="J179" t="str">
        <f t="shared" si="15"/>
        <v/>
      </c>
      <c r="K179" t="str">
        <f t="shared" si="16"/>
        <v/>
      </c>
      <c r="L179" t="str">
        <f t="shared" si="16"/>
        <v/>
      </c>
      <c r="M179" t="b">
        <f t="shared" si="17"/>
        <v>0</v>
      </c>
    </row>
    <row r="180" spans="1:13" ht="15.75" x14ac:dyDescent="0.3">
      <c r="A180" s="2">
        <v>45503</v>
      </c>
      <c r="B180" s="1">
        <v>0</v>
      </c>
      <c r="C180" s="1">
        <v>0</v>
      </c>
      <c r="D180" s="3">
        <f t="shared" si="18"/>
        <v>0</v>
      </c>
      <c r="E180" s="1">
        <v>0</v>
      </c>
      <c r="F180" s="1">
        <v>10387481.41793026</v>
      </c>
      <c r="G180" s="1"/>
      <c r="H180">
        <f t="shared" si="13"/>
        <v>7</v>
      </c>
      <c r="I180" t="str">
        <f t="shared" si="14"/>
        <v/>
      </c>
      <c r="J180" t="str">
        <f t="shared" si="15"/>
        <v/>
      </c>
      <c r="K180" t="str">
        <f t="shared" si="16"/>
        <v/>
      </c>
      <c r="L180" t="str">
        <f t="shared" si="16"/>
        <v/>
      </c>
      <c r="M180" t="b">
        <f t="shared" si="17"/>
        <v>0</v>
      </c>
    </row>
    <row r="181" spans="1:13" ht="15.75" x14ac:dyDescent="0.3">
      <c r="A181" s="2">
        <v>45504</v>
      </c>
      <c r="B181" s="1">
        <v>0</v>
      </c>
      <c r="C181" s="1">
        <v>0</v>
      </c>
      <c r="D181" s="3">
        <f t="shared" si="18"/>
        <v>0</v>
      </c>
      <c r="E181" s="1">
        <v>0</v>
      </c>
      <c r="F181" s="1">
        <v>9604955.4541206937</v>
      </c>
      <c r="G181" s="1"/>
      <c r="H181">
        <f t="shared" si="13"/>
        <v>7</v>
      </c>
      <c r="I181">
        <f t="shared" si="14"/>
        <v>0</v>
      </c>
      <c r="J181">
        <f t="shared" si="15"/>
        <v>0</v>
      </c>
      <c r="K181">
        <f t="shared" si="16"/>
        <v>9604955.4541206937</v>
      </c>
      <c r="L181">
        <f t="shared" si="16"/>
        <v>0</v>
      </c>
      <c r="M181" t="b">
        <f t="shared" si="17"/>
        <v>1</v>
      </c>
    </row>
    <row r="182" spans="1:13" ht="15.75" x14ac:dyDescent="0.3">
      <c r="A182" s="2">
        <v>45505</v>
      </c>
      <c r="B182" s="1">
        <v>0</v>
      </c>
      <c r="C182" s="1">
        <v>10586</v>
      </c>
      <c r="D182" s="3">
        <f t="shared" si="18"/>
        <v>-10586</v>
      </c>
      <c r="E182" s="1">
        <v>0</v>
      </c>
      <c r="F182" s="1">
        <v>8601629.9054178614</v>
      </c>
      <c r="G182" s="1"/>
      <c r="H182">
        <f t="shared" si="13"/>
        <v>8</v>
      </c>
      <c r="I182" t="str">
        <f t="shared" si="14"/>
        <v/>
      </c>
      <c r="J182" t="str">
        <f t="shared" si="15"/>
        <v/>
      </c>
      <c r="K182" t="str">
        <f t="shared" si="16"/>
        <v/>
      </c>
      <c r="L182" t="str">
        <f t="shared" si="16"/>
        <v/>
      </c>
      <c r="M182" t="b">
        <f t="shared" si="17"/>
        <v>0</v>
      </c>
    </row>
    <row r="183" spans="1:13" ht="15.75" x14ac:dyDescent="0.3">
      <c r="A183" s="2">
        <v>45506</v>
      </c>
      <c r="B183" s="1">
        <v>0</v>
      </c>
      <c r="C183" s="1">
        <v>42557</v>
      </c>
      <c r="D183" s="3">
        <f t="shared" si="18"/>
        <v>-42557</v>
      </c>
      <c r="E183" s="1">
        <v>0</v>
      </c>
      <c r="F183" s="1">
        <v>8185837.1458720081</v>
      </c>
      <c r="G183" s="1"/>
      <c r="H183">
        <f t="shared" si="13"/>
        <v>8</v>
      </c>
      <c r="I183" t="str">
        <f t="shared" si="14"/>
        <v/>
      </c>
      <c r="J183" t="str">
        <f t="shared" si="15"/>
        <v/>
      </c>
      <c r="K183" t="str">
        <f t="shared" si="16"/>
        <v/>
      </c>
      <c r="L183" t="str">
        <f t="shared" si="16"/>
        <v/>
      </c>
      <c r="M183" t="b">
        <f t="shared" si="17"/>
        <v>0</v>
      </c>
    </row>
    <row r="184" spans="1:13" ht="15.75" x14ac:dyDescent="0.3">
      <c r="A184" s="2">
        <v>45509</v>
      </c>
      <c r="B184" s="1">
        <v>0</v>
      </c>
      <c r="C184" s="1">
        <v>20607</v>
      </c>
      <c r="D184" s="3">
        <f t="shared" si="18"/>
        <v>-20607</v>
      </c>
      <c r="E184" s="1">
        <v>0</v>
      </c>
      <c r="F184" s="1">
        <v>7707331.0482279444</v>
      </c>
      <c r="G184" s="1"/>
      <c r="H184">
        <f t="shared" si="13"/>
        <v>8</v>
      </c>
      <c r="I184" t="str">
        <f t="shared" si="14"/>
        <v/>
      </c>
      <c r="J184" t="str">
        <f t="shared" si="15"/>
        <v/>
      </c>
      <c r="K184" t="str">
        <f t="shared" si="16"/>
        <v/>
      </c>
      <c r="L184" t="str">
        <f t="shared" si="16"/>
        <v/>
      </c>
      <c r="M184" t="b">
        <f t="shared" si="17"/>
        <v>0</v>
      </c>
    </row>
    <row r="185" spans="1:13" ht="15.75" x14ac:dyDescent="0.3">
      <c r="A185" s="2">
        <v>45510</v>
      </c>
      <c r="B185" s="1">
        <v>0</v>
      </c>
      <c r="C185" s="1">
        <v>23690</v>
      </c>
      <c r="D185" s="3">
        <f t="shared" si="18"/>
        <v>-23690</v>
      </c>
      <c r="E185" s="1">
        <v>0</v>
      </c>
      <c r="F185" s="1">
        <v>8194439.8984222263</v>
      </c>
      <c r="G185" s="1"/>
      <c r="H185">
        <f t="shared" si="13"/>
        <v>8</v>
      </c>
      <c r="I185" t="str">
        <f t="shared" si="14"/>
        <v/>
      </c>
      <c r="J185" t="str">
        <f t="shared" si="15"/>
        <v/>
      </c>
      <c r="K185" t="str">
        <f t="shared" si="16"/>
        <v/>
      </c>
      <c r="L185" t="str">
        <f t="shared" si="16"/>
        <v/>
      </c>
      <c r="M185" t="b">
        <f t="shared" si="17"/>
        <v>0</v>
      </c>
    </row>
    <row r="186" spans="1:13" ht="15.75" x14ac:dyDescent="0.3">
      <c r="A186" s="2">
        <v>45511</v>
      </c>
      <c r="B186" s="1">
        <v>0</v>
      </c>
      <c r="C186" s="1">
        <v>23690</v>
      </c>
      <c r="D186" s="3">
        <f t="shared" si="18"/>
        <v>-23690</v>
      </c>
      <c r="E186" s="1">
        <v>0</v>
      </c>
      <c r="F186" s="1">
        <v>8347431.8350573489</v>
      </c>
      <c r="G186" s="1"/>
      <c r="H186">
        <f t="shared" si="13"/>
        <v>8</v>
      </c>
      <c r="I186" t="str">
        <f t="shared" si="14"/>
        <v/>
      </c>
      <c r="J186" t="str">
        <f t="shared" si="15"/>
        <v/>
      </c>
      <c r="K186" t="str">
        <f t="shared" si="16"/>
        <v/>
      </c>
      <c r="L186" t="str">
        <f t="shared" si="16"/>
        <v/>
      </c>
      <c r="M186" t="b">
        <f t="shared" si="17"/>
        <v>0</v>
      </c>
    </row>
    <row r="187" spans="1:13" ht="15.75" x14ac:dyDescent="0.3">
      <c r="A187" s="2">
        <v>45512</v>
      </c>
      <c r="B187" s="1">
        <v>0</v>
      </c>
      <c r="C187" s="1">
        <v>13104</v>
      </c>
      <c r="D187" s="3">
        <f t="shared" si="18"/>
        <v>-13104</v>
      </c>
      <c r="E187" s="1">
        <v>0</v>
      </c>
      <c r="F187" s="1">
        <v>8278085.6677520787</v>
      </c>
      <c r="G187" s="1"/>
      <c r="H187">
        <f t="shared" si="13"/>
        <v>8</v>
      </c>
      <c r="I187" t="str">
        <f t="shared" si="14"/>
        <v/>
      </c>
      <c r="J187" t="str">
        <f t="shared" si="15"/>
        <v/>
      </c>
      <c r="K187" t="str">
        <f t="shared" si="16"/>
        <v/>
      </c>
      <c r="L187" t="str">
        <f t="shared" si="16"/>
        <v/>
      </c>
      <c r="M187" t="b">
        <f t="shared" si="17"/>
        <v>0</v>
      </c>
    </row>
    <row r="188" spans="1:13" ht="15.75" x14ac:dyDescent="0.3">
      <c r="A188" s="2">
        <v>45513</v>
      </c>
      <c r="B188" s="1">
        <v>0</v>
      </c>
      <c r="C188" s="1">
        <v>13104</v>
      </c>
      <c r="D188" s="3">
        <f t="shared" si="18"/>
        <v>-13104</v>
      </c>
      <c r="E188" s="1">
        <v>0</v>
      </c>
      <c r="F188" s="1">
        <v>8963783.8737639226</v>
      </c>
      <c r="G188" s="1"/>
      <c r="H188">
        <f t="shared" si="13"/>
        <v>8</v>
      </c>
      <c r="I188" t="str">
        <f t="shared" si="14"/>
        <v/>
      </c>
      <c r="J188" t="str">
        <f t="shared" si="15"/>
        <v/>
      </c>
      <c r="K188" t="str">
        <f t="shared" si="16"/>
        <v/>
      </c>
      <c r="L188" t="str">
        <f t="shared" si="16"/>
        <v/>
      </c>
      <c r="M188" t="b">
        <f t="shared" si="17"/>
        <v>0</v>
      </c>
    </row>
    <row r="189" spans="1:13" ht="15.75" x14ac:dyDescent="0.3">
      <c r="A189" s="2">
        <v>45516</v>
      </c>
      <c r="B189" s="1">
        <v>0</v>
      </c>
      <c r="C189" s="1">
        <v>3083</v>
      </c>
      <c r="D189" s="3">
        <f t="shared" si="18"/>
        <v>-3083</v>
      </c>
      <c r="E189" s="1">
        <v>0</v>
      </c>
      <c r="F189" s="1">
        <v>8910026.0691834595</v>
      </c>
      <c r="G189" s="1"/>
      <c r="H189">
        <f t="shared" si="13"/>
        <v>8</v>
      </c>
      <c r="I189" t="str">
        <f t="shared" si="14"/>
        <v/>
      </c>
      <c r="J189" t="str">
        <f t="shared" si="15"/>
        <v/>
      </c>
      <c r="K189" t="str">
        <f t="shared" si="16"/>
        <v/>
      </c>
      <c r="L189" t="str">
        <f t="shared" si="16"/>
        <v/>
      </c>
      <c r="M189" t="b">
        <f t="shared" si="17"/>
        <v>0</v>
      </c>
    </row>
    <row r="190" spans="1:13" ht="15.75" x14ac:dyDescent="0.3">
      <c r="A190" s="2">
        <v>45517</v>
      </c>
      <c r="B190" s="1">
        <v>0</v>
      </c>
      <c r="C190" s="1">
        <v>0</v>
      </c>
      <c r="D190" s="3">
        <f t="shared" si="18"/>
        <v>0</v>
      </c>
      <c r="E190" s="1">
        <v>0</v>
      </c>
      <c r="F190" s="1">
        <v>8397814.0225742348</v>
      </c>
      <c r="G190" s="1"/>
      <c r="H190">
        <f t="shared" si="13"/>
        <v>8</v>
      </c>
      <c r="I190" t="str">
        <f t="shared" si="14"/>
        <v/>
      </c>
      <c r="J190" t="str">
        <f t="shared" si="15"/>
        <v/>
      </c>
      <c r="K190" t="str">
        <f t="shared" si="16"/>
        <v/>
      </c>
      <c r="L190" t="str">
        <f t="shared" si="16"/>
        <v/>
      </c>
      <c r="M190" t="b">
        <f t="shared" si="17"/>
        <v>0</v>
      </c>
    </row>
    <row r="191" spans="1:13" ht="15.75" x14ac:dyDescent="0.3">
      <c r="A191" s="2">
        <v>45518</v>
      </c>
      <c r="B191" s="1">
        <v>0</v>
      </c>
      <c r="C191" s="1">
        <v>0</v>
      </c>
      <c r="D191" s="3">
        <f t="shared" si="18"/>
        <v>0</v>
      </c>
      <c r="E191" s="1">
        <v>0</v>
      </c>
      <c r="F191" s="1">
        <v>8649980.6608446818</v>
      </c>
      <c r="G191" s="1"/>
      <c r="H191">
        <f t="shared" si="13"/>
        <v>8</v>
      </c>
      <c r="I191" t="str">
        <f t="shared" si="14"/>
        <v/>
      </c>
      <c r="J191" t="str">
        <f t="shared" si="15"/>
        <v/>
      </c>
      <c r="K191" t="str">
        <f t="shared" si="16"/>
        <v/>
      </c>
      <c r="L191" t="str">
        <f t="shared" si="16"/>
        <v/>
      </c>
      <c r="M191" t="b">
        <f t="shared" si="17"/>
        <v>0</v>
      </c>
    </row>
    <row r="192" spans="1:13" ht="15.75" x14ac:dyDescent="0.3">
      <c r="A192" s="2">
        <v>45519</v>
      </c>
      <c r="B192" s="1">
        <v>0</v>
      </c>
      <c r="C192" s="1">
        <v>0</v>
      </c>
      <c r="D192" s="3">
        <f t="shared" si="18"/>
        <v>0</v>
      </c>
      <c r="E192" s="1">
        <v>0</v>
      </c>
      <c r="F192" s="1">
        <v>9324733.759973973</v>
      </c>
      <c r="G192" s="1"/>
      <c r="H192">
        <f t="shared" si="13"/>
        <v>8</v>
      </c>
      <c r="I192" t="str">
        <f t="shared" si="14"/>
        <v/>
      </c>
      <c r="J192" t="str">
        <f t="shared" si="15"/>
        <v/>
      </c>
      <c r="K192" t="str">
        <f t="shared" si="16"/>
        <v/>
      </c>
      <c r="L192" t="str">
        <f t="shared" si="16"/>
        <v/>
      </c>
      <c r="M192" t="b">
        <f t="shared" si="17"/>
        <v>0</v>
      </c>
    </row>
    <row r="193" spans="1:13" ht="15.75" x14ac:dyDescent="0.3">
      <c r="A193" s="2">
        <v>45520</v>
      </c>
      <c r="B193" s="1">
        <v>0</v>
      </c>
      <c r="C193" s="1">
        <v>0</v>
      </c>
      <c r="D193" s="3">
        <f t="shared" si="18"/>
        <v>0</v>
      </c>
      <c r="E193" s="1">
        <v>0</v>
      </c>
      <c r="F193" s="1">
        <v>8876188.5258195363</v>
      </c>
      <c r="G193" s="1"/>
      <c r="H193">
        <f t="shared" si="13"/>
        <v>8</v>
      </c>
      <c r="I193" t="str">
        <f t="shared" si="14"/>
        <v/>
      </c>
      <c r="J193" t="str">
        <f t="shared" si="15"/>
        <v/>
      </c>
      <c r="K193" t="str">
        <f t="shared" si="16"/>
        <v/>
      </c>
      <c r="L193" t="str">
        <f t="shared" si="16"/>
        <v/>
      </c>
      <c r="M193" t="b">
        <f t="shared" si="17"/>
        <v>0</v>
      </c>
    </row>
    <row r="194" spans="1:13" ht="15.75" x14ac:dyDescent="0.3">
      <c r="A194" s="2">
        <v>45523</v>
      </c>
      <c r="B194" s="1">
        <v>0</v>
      </c>
      <c r="C194" s="1">
        <v>0</v>
      </c>
      <c r="D194" s="3">
        <f t="shared" si="18"/>
        <v>0</v>
      </c>
      <c r="E194" s="1">
        <v>0</v>
      </c>
      <c r="F194" s="1">
        <v>9171085.8960904106</v>
      </c>
      <c r="G194" s="1"/>
      <c r="H194">
        <f t="shared" si="13"/>
        <v>8</v>
      </c>
      <c r="I194" t="str">
        <f t="shared" si="14"/>
        <v/>
      </c>
      <c r="J194" t="str">
        <f t="shared" si="15"/>
        <v/>
      </c>
      <c r="K194" t="str">
        <f t="shared" si="16"/>
        <v/>
      </c>
      <c r="L194" t="str">
        <f t="shared" si="16"/>
        <v/>
      </c>
      <c r="M194" t="b">
        <f t="shared" si="17"/>
        <v>0</v>
      </c>
    </row>
    <row r="195" spans="1:13" ht="15.75" x14ac:dyDescent="0.3">
      <c r="A195" s="2">
        <v>45524</v>
      </c>
      <c r="B195" s="1">
        <v>0</v>
      </c>
      <c r="C195" s="1">
        <v>0</v>
      </c>
      <c r="D195" s="3">
        <f t="shared" si="18"/>
        <v>0</v>
      </c>
      <c r="E195" s="1">
        <v>0</v>
      </c>
      <c r="F195" s="1">
        <v>9624213.7519317176</v>
      </c>
      <c r="G195" s="1"/>
      <c r="H195">
        <f t="shared" ref="H195:H258" si="19">+MONTH(A195)</f>
        <v>8</v>
      </c>
      <c r="I195" t="str">
        <f t="shared" ref="I195:I258" si="20">+IF($H195&lt;&gt;$H196,D195,"")</f>
        <v/>
      </c>
      <c r="J195" t="str">
        <f t="shared" ref="J195:J258" si="21">+IF($H195&lt;&gt;$H196,E195,"")</f>
        <v/>
      </c>
      <c r="K195" t="str">
        <f t="shared" ref="K195:L258" si="22">+IF($H195&lt;&gt;$H196,F195,"")</f>
        <v/>
      </c>
      <c r="L195" t="str">
        <f t="shared" si="22"/>
        <v/>
      </c>
      <c r="M195" t="b">
        <f t="shared" ref="M195:M258" si="23">+$H195&lt;&gt;$H196</f>
        <v>0</v>
      </c>
    </row>
    <row r="196" spans="1:13" ht="15.75" x14ac:dyDescent="0.3">
      <c r="A196" s="2">
        <v>45525</v>
      </c>
      <c r="B196" s="1">
        <v>0</v>
      </c>
      <c r="C196" s="1">
        <v>0</v>
      </c>
      <c r="D196" s="3">
        <f t="shared" si="18"/>
        <v>0</v>
      </c>
      <c r="E196" s="1">
        <v>0</v>
      </c>
      <c r="F196" s="1">
        <v>9438191.3049194831</v>
      </c>
      <c r="G196" s="1"/>
      <c r="H196">
        <f t="shared" si="19"/>
        <v>8</v>
      </c>
      <c r="I196" t="str">
        <f t="shared" si="20"/>
        <v/>
      </c>
      <c r="J196" t="str">
        <f t="shared" si="21"/>
        <v/>
      </c>
      <c r="K196" t="str">
        <f t="shared" si="22"/>
        <v/>
      </c>
      <c r="L196" t="str">
        <f t="shared" si="22"/>
        <v/>
      </c>
      <c r="M196" t="b">
        <f t="shared" si="23"/>
        <v>0</v>
      </c>
    </row>
    <row r="197" spans="1:13" ht="15.75" x14ac:dyDescent="0.3">
      <c r="A197" s="2">
        <v>45526</v>
      </c>
      <c r="B197" s="1">
        <v>0</v>
      </c>
      <c r="C197" s="1">
        <v>0</v>
      </c>
      <c r="D197" s="3">
        <f t="shared" si="18"/>
        <v>0</v>
      </c>
      <c r="E197" s="1">
        <v>0</v>
      </c>
      <c r="F197" s="1">
        <v>9590453.53966433</v>
      </c>
      <c r="G197" s="1"/>
      <c r="H197">
        <f t="shared" si="19"/>
        <v>8</v>
      </c>
      <c r="I197" t="str">
        <f t="shared" si="20"/>
        <v/>
      </c>
      <c r="J197" t="str">
        <f t="shared" si="21"/>
        <v/>
      </c>
      <c r="K197" t="str">
        <f t="shared" si="22"/>
        <v/>
      </c>
      <c r="L197" t="str">
        <f t="shared" si="22"/>
        <v/>
      </c>
      <c r="M197" t="b">
        <f t="shared" si="23"/>
        <v>0</v>
      </c>
    </row>
    <row r="198" spans="1:13" ht="15.75" x14ac:dyDescent="0.3">
      <c r="A198" s="2">
        <v>45527</v>
      </c>
      <c r="B198" s="1">
        <v>0</v>
      </c>
      <c r="C198" s="1">
        <v>0</v>
      </c>
      <c r="D198" s="3">
        <f t="shared" si="18"/>
        <v>0</v>
      </c>
      <c r="E198" s="1">
        <v>0</v>
      </c>
      <c r="F198" s="1">
        <v>9599616.1704131607</v>
      </c>
      <c r="G198" s="1"/>
      <c r="H198">
        <f t="shared" si="19"/>
        <v>8</v>
      </c>
      <c r="I198" t="str">
        <f t="shared" si="20"/>
        <v/>
      </c>
      <c r="J198" t="str">
        <f t="shared" si="21"/>
        <v/>
      </c>
      <c r="K198" t="str">
        <f t="shared" si="22"/>
        <v/>
      </c>
      <c r="L198" t="str">
        <f t="shared" si="22"/>
        <v/>
      </c>
      <c r="M198" t="b">
        <f t="shared" si="23"/>
        <v>0</v>
      </c>
    </row>
    <row r="199" spans="1:13" ht="15.75" x14ac:dyDescent="0.3">
      <c r="A199" s="2">
        <v>45530</v>
      </c>
      <c r="B199" s="1">
        <v>0</v>
      </c>
      <c r="C199" s="1">
        <v>0</v>
      </c>
      <c r="D199" s="3">
        <f t="shared" ref="D199:D262" si="24">+B199-C199</f>
        <v>0</v>
      </c>
      <c r="E199" s="1">
        <v>0</v>
      </c>
      <c r="F199" s="1">
        <v>9566557.1130728703</v>
      </c>
      <c r="G199" s="1"/>
      <c r="H199">
        <f t="shared" si="19"/>
        <v>8</v>
      </c>
      <c r="I199" t="str">
        <f t="shared" si="20"/>
        <v/>
      </c>
      <c r="J199" t="str">
        <f t="shared" si="21"/>
        <v/>
      </c>
      <c r="K199" t="str">
        <f t="shared" si="22"/>
        <v/>
      </c>
      <c r="L199" t="str">
        <f t="shared" si="22"/>
        <v/>
      </c>
      <c r="M199" t="b">
        <f t="shared" si="23"/>
        <v>0</v>
      </c>
    </row>
    <row r="200" spans="1:13" ht="15.75" x14ac:dyDescent="0.3">
      <c r="A200" s="2">
        <v>45531</v>
      </c>
      <c r="B200" s="1">
        <v>0</v>
      </c>
      <c r="C200" s="1">
        <v>0</v>
      </c>
      <c r="D200" s="3">
        <f t="shared" si="24"/>
        <v>0</v>
      </c>
      <c r="E200" s="1">
        <v>0</v>
      </c>
      <c r="F200" s="1">
        <v>9398342.4644204658</v>
      </c>
      <c r="G200" s="1"/>
      <c r="H200">
        <f t="shared" si="19"/>
        <v>8</v>
      </c>
      <c r="I200" t="str">
        <f t="shared" si="20"/>
        <v/>
      </c>
      <c r="J200" t="str">
        <f t="shared" si="21"/>
        <v/>
      </c>
      <c r="K200" t="str">
        <f t="shared" si="22"/>
        <v/>
      </c>
      <c r="L200" t="str">
        <f t="shared" si="22"/>
        <v/>
      </c>
      <c r="M200" t="b">
        <f t="shared" si="23"/>
        <v>0</v>
      </c>
    </row>
    <row r="201" spans="1:13" ht="15.75" x14ac:dyDescent="0.3">
      <c r="A201" s="2">
        <v>45532</v>
      </c>
      <c r="B201" s="1">
        <v>0</v>
      </c>
      <c r="C201" s="1">
        <v>0</v>
      </c>
      <c r="D201" s="3">
        <f t="shared" si="24"/>
        <v>0</v>
      </c>
      <c r="E201" s="1">
        <v>0</v>
      </c>
      <c r="F201" s="1">
        <v>10249299.31901907</v>
      </c>
      <c r="G201" s="1"/>
      <c r="H201">
        <f t="shared" si="19"/>
        <v>8</v>
      </c>
      <c r="I201" t="str">
        <f t="shared" si="20"/>
        <v/>
      </c>
      <c r="J201" t="str">
        <f t="shared" si="21"/>
        <v/>
      </c>
      <c r="K201" t="str">
        <f t="shared" si="22"/>
        <v/>
      </c>
      <c r="L201" t="str">
        <f t="shared" si="22"/>
        <v/>
      </c>
      <c r="M201" t="b">
        <f t="shared" si="23"/>
        <v>0</v>
      </c>
    </row>
    <row r="202" spans="1:13" ht="15.75" x14ac:dyDescent="0.3">
      <c r="A202" s="2">
        <v>45533</v>
      </c>
      <c r="B202" s="1">
        <v>0</v>
      </c>
      <c r="C202" s="1">
        <v>0</v>
      </c>
      <c r="D202" s="3">
        <f t="shared" si="24"/>
        <v>0</v>
      </c>
      <c r="E202" s="1">
        <v>0</v>
      </c>
      <c r="F202" s="1">
        <v>9701721.1304801926</v>
      </c>
      <c r="G202" s="1"/>
      <c r="H202">
        <f t="shared" si="19"/>
        <v>8</v>
      </c>
      <c r="I202" t="str">
        <f t="shared" si="20"/>
        <v/>
      </c>
      <c r="J202" t="str">
        <f t="shared" si="21"/>
        <v/>
      </c>
      <c r="K202" t="str">
        <f t="shared" si="22"/>
        <v/>
      </c>
      <c r="L202" t="str">
        <f t="shared" si="22"/>
        <v/>
      </c>
      <c r="M202" t="b">
        <f t="shared" si="23"/>
        <v>0</v>
      </c>
    </row>
    <row r="203" spans="1:13" ht="15.75" x14ac:dyDescent="0.3">
      <c r="A203" s="2">
        <v>45534</v>
      </c>
      <c r="B203" s="1">
        <v>0</v>
      </c>
      <c r="C203" s="1">
        <v>0</v>
      </c>
      <c r="D203" s="3">
        <f t="shared" si="24"/>
        <v>0</v>
      </c>
      <c r="E203" s="1">
        <v>0</v>
      </c>
      <c r="F203" s="1">
        <v>8828310.7246338185</v>
      </c>
      <c r="G203" s="1"/>
      <c r="H203">
        <f t="shared" si="19"/>
        <v>8</v>
      </c>
      <c r="I203">
        <f t="shared" si="20"/>
        <v>0</v>
      </c>
      <c r="J203">
        <f t="shared" si="21"/>
        <v>0</v>
      </c>
      <c r="K203">
        <f t="shared" si="22"/>
        <v>8828310.7246338185</v>
      </c>
      <c r="L203">
        <f t="shared" si="22"/>
        <v>0</v>
      </c>
      <c r="M203" t="b">
        <f t="shared" si="23"/>
        <v>1</v>
      </c>
    </row>
    <row r="204" spans="1:13" ht="15.75" x14ac:dyDescent="0.3">
      <c r="A204" s="2">
        <v>45537</v>
      </c>
      <c r="B204" s="1">
        <v>0</v>
      </c>
      <c r="C204" s="1">
        <v>0</v>
      </c>
      <c r="D204" s="3">
        <f t="shared" si="24"/>
        <v>0</v>
      </c>
      <c r="E204" s="1">
        <v>0</v>
      </c>
      <c r="F204" s="1">
        <v>7463102.4928744268</v>
      </c>
      <c r="G204" s="1"/>
      <c r="H204">
        <f t="shared" si="19"/>
        <v>9</v>
      </c>
      <c r="I204" t="str">
        <f t="shared" si="20"/>
        <v/>
      </c>
      <c r="J204" t="str">
        <f t="shared" si="21"/>
        <v/>
      </c>
      <c r="K204" t="str">
        <f t="shared" si="22"/>
        <v/>
      </c>
      <c r="L204" t="str">
        <f t="shared" si="22"/>
        <v/>
      </c>
      <c r="M204" t="b">
        <f t="shared" si="23"/>
        <v>0</v>
      </c>
    </row>
    <row r="205" spans="1:13" ht="15.75" x14ac:dyDescent="0.3">
      <c r="A205" s="2">
        <v>45538</v>
      </c>
      <c r="B205" s="1">
        <v>0</v>
      </c>
      <c r="C205" s="1">
        <v>0</v>
      </c>
      <c r="D205" s="3">
        <f t="shared" si="24"/>
        <v>0</v>
      </c>
      <c r="E205" s="1">
        <v>0</v>
      </c>
      <c r="F205" s="1">
        <v>7165186.6702486007</v>
      </c>
      <c r="G205" s="1"/>
      <c r="H205">
        <f t="shared" si="19"/>
        <v>9</v>
      </c>
      <c r="I205" t="str">
        <f t="shared" si="20"/>
        <v/>
      </c>
      <c r="J205" t="str">
        <f t="shared" si="21"/>
        <v/>
      </c>
      <c r="K205" t="str">
        <f t="shared" si="22"/>
        <v/>
      </c>
      <c r="L205" t="str">
        <f t="shared" si="22"/>
        <v/>
      </c>
      <c r="M205" t="b">
        <f t="shared" si="23"/>
        <v>0</v>
      </c>
    </row>
    <row r="206" spans="1:13" ht="15.75" x14ac:dyDescent="0.3">
      <c r="A206" s="2">
        <v>45539</v>
      </c>
      <c r="B206" s="1">
        <v>0</v>
      </c>
      <c r="C206" s="1">
        <v>531</v>
      </c>
      <c r="D206" s="3">
        <f t="shared" si="24"/>
        <v>-531</v>
      </c>
      <c r="E206" s="1">
        <v>0</v>
      </c>
      <c r="F206" s="1">
        <v>6830890.7328154258</v>
      </c>
      <c r="G206" s="1"/>
      <c r="H206">
        <f t="shared" si="19"/>
        <v>9</v>
      </c>
      <c r="I206" t="str">
        <f t="shared" si="20"/>
        <v/>
      </c>
      <c r="J206" t="str">
        <f t="shared" si="21"/>
        <v/>
      </c>
      <c r="K206" t="str">
        <f t="shared" si="22"/>
        <v/>
      </c>
      <c r="L206" t="str">
        <f t="shared" si="22"/>
        <v/>
      </c>
      <c r="M206" t="b">
        <f t="shared" si="23"/>
        <v>0</v>
      </c>
    </row>
    <row r="207" spans="1:13" ht="15.75" x14ac:dyDescent="0.3">
      <c r="A207" s="2">
        <v>45540</v>
      </c>
      <c r="B207" s="1">
        <v>0</v>
      </c>
      <c r="C207" s="1">
        <v>34</v>
      </c>
      <c r="D207" s="3">
        <f t="shared" si="24"/>
        <v>-34</v>
      </c>
      <c r="E207" s="1">
        <v>0</v>
      </c>
      <c r="F207" s="1">
        <v>7140644.4360252712</v>
      </c>
      <c r="G207" s="1"/>
      <c r="H207">
        <f t="shared" si="19"/>
        <v>9</v>
      </c>
      <c r="I207" t="str">
        <f t="shared" si="20"/>
        <v/>
      </c>
      <c r="J207" t="str">
        <f t="shared" si="21"/>
        <v/>
      </c>
      <c r="K207" t="str">
        <f t="shared" si="22"/>
        <v/>
      </c>
      <c r="L207" t="str">
        <f t="shared" si="22"/>
        <v/>
      </c>
      <c r="M207" t="b">
        <f t="shared" si="23"/>
        <v>0</v>
      </c>
    </row>
    <row r="208" spans="1:13" ht="15.75" x14ac:dyDescent="0.3">
      <c r="A208" s="2">
        <v>45541</v>
      </c>
      <c r="B208" s="1">
        <v>0</v>
      </c>
      <c r="C208" s="1">
        <v>510</v>
      </c>
      <c r="D208" s="3">
        <f t="shared" si="24"/>
        <v>-510</v>
      </c>
      <c r="E208" s="1">
        <v>0</v>
      </c>
      <c r="F208" s="1">
        <v>6957975.3213524483</v>
      </c>
      <c r="G208" s="1"/>
      <c r="H208">
        <f t="shared" si="19"/>
        <v>9</v>
      </c>
      <c r="I208" t="str">
        <f t="shared" si="20"/>
        <v/>
      </c>
      <c r="J208" t="str">
        <f t="shared" si="21"/>
        <v/>
      </c>
      <c r="K208" t="str">
        <f t="shared" si="22"/>
        <v/>
      </c>
      <c r="L208" t="str">
        <f t="shared" si="22"/>
        <v/>
      </c>
      <c r="M208" t="b">
        <f t="shared" si="23"/>
        <v>0</v>
      </c>
    </row>
    <row r="209" spans="1:13" ht="15.75" x14ac:dyDescent="0.3">
      <c r="A209" s="2">
        <v>45544</v>
      </c>
      <c r="B209" s="1">
        <v>0</v>
      </c>
      <c r="C209" s="1">
        <v>221</v>
      </c>
      <c r="D209" s="3">
        <f t="shared" si="24"/>
        <v>-221</v>
      </c>
      <c r="E209" s="1">
        <v>0</v>
      </c>
      <c r="F209" s="1">
        <v>7272484.2557370942</v>
      </c>
      <c r="G209" s="1"/>
      <c r="H209">
        <f t="shared" si="19"/>
        <v>9</v>
      </c>
      <c r="I209" t="str">
        <f t="shared" si="20"/>
        <v/>
      </c>
      <c r="J209" t="str">
        <f t="shared" si="21"/>
        <v/>
      </c>
      <c r="K209" t="str">
        <f t="shared" si="22"/>
        <v/>
      </c>
      <c r="L209" t="str">
        <f t="shared" si="22"/>
        <v/>
      </c>
      <c r="M209" t="b">
        <f t="shared" si="23"/>
        <v>0</v>
      </c>
    </row>
    <row r="210" spans="1:13" ht="15.75" x14ac:dyDescent="0.3">
      <c r="A210" s="2">
        <v>45545</v>
      </c>
      <c r="B210" s="1">
        <v>0</v>
      </c>
      <c r="C210" s="1">
        <v>47892</v>
      </c>
      <c r="D210" s="3">
        <f t="shared" si="24"/>
        <v>-47892</v>
      </c>
      <c r="E210" s="1">
        <v>0</v>
      </c>
      <c r="F210" s="1">
        <v>7542172.8763850098</v>
      </c>
      <c r="G210" s="1"/>
      <c r="H210">
        <f t="shared" si="19"/>
        <v>9</v>
      </c>
      <c r="I210" t="str">
        <f t="shared" si="20"/>
        <v/>
      </c>
      <c r="J210" t="str">
        <f t="shared" si="21"/>
        <v/>
      </c>
      <c r="K210" t="str">
        <f t="shared" si="22"/>
        <v/>
      </c>
      <c r="L210" t="str">
        <f t="shared" si="22"/>
        <v/>
      </c>
      <c r="M210" t="b">
        <f t="shared" si="23"/>
        <v>0</v>
      </c>
    </row>
    <row r="211" spans="1:13" ht="15.75" x14ac:dyDescent="0.3">
      <c r="A211" s="2">
        <v>45546</v>
      </c>
      <c r="B211" s="1">
        <v>0</v>
      </c>
      <c r="C211" s="1">
        <v>7250</v>
      </c>
      <c r="D211" s="3">
        <f t="shared" si="24"/>
        <v>-7250</v>
      </c>
      <c r="E211" s="1">
        <v>0</v>
      </c>
      <c r="F211" s="1">
        <v>7240368.7907484192</v>
      </c>
      <c r="G211" s="1"/>
      <c r="H211">
        <f t="shared" si="19"/>
        <v>9</v>
      </c>
      <c r="I211" t="str">
        <f t="shared" si="20"/>
        <v/>
      </c>
      <c r="J211" t="str">
        <f t="shared" si="21"/>
        <v/>
      </c>
      <c r="K211" t="str">
        <f t="shared" si="22"/>
        <v/>
      </c>
      <c r="L211" t="str">
        <f t="shared" si="22"/>
        <v/>
      </c>
      <c r="M211" t="b">
        <f t="shared" si="23"/>
        <v>0</v>
      </c>
    </row>
    <row r="212" spans="1:13" ht="15.75" x14ac:dyDescent="0.3">
      <c r="A212" s="2">
        <v>45547</v>
      </c>
      <c r="B212" s="1">
        <v>0</v>
      </c>
      <c r="C212" s="1">
        <v>56674</v>
      </c>
      <c r="D212" s="3">
        <f t="shared" si="24"/>
        <v>-56674</v>
      </c>
      <c r="E212" s="1">
        <v>0</v>
      </c>
      <c r="F212" s="1">
        <v>7237595.0738963922</v>
      </c>
      <c r="G212" s="1"/>
      <c r="H212">
        <f t="shared" si="19"/>
        <v>9</v>
      </c>
      <c r="I212" t="str">
        <f t="shared" si="20"/>
        <v/>
      </c>
      <c r="J212" t="str">
        <f t="shared" si="21"/>
        <v/>
      </c>
      <c r="K212" t="str">
        <f t="shared" si="22"/>
        <v/>
      </c>
      <c r="L212" t="str">
        <f t="shared" si="22"/>
        <v/>
      </c>
      <c r="M212" t="b">
        <f t="shared" si="23"/>
        <v>0</v>
      </c>
    </row>
    <row r="213" spans="1:13" ht="15.75" x14ac:dyDescent="0.3">
      <c r="A213" s="2">
        <v>45548</v>
      </c>
      <c r="B213" s="1">
        <v>0</v>
      </c>
      <c r="C213" s="1">
        <v>154126</v>
      </c>
      <c r="D213" s="3">
        <f t="shared" si="24"/>
        <v>-154126</v>
      </c>
      <c r="E213" s="1">
        <v>0</v>
      </c>
      <c r="F213" s="1">
        <v>7383761.2515482893</v>
      </c>
      <c r="G213" s="1"/>
      <c r="H213">
        <f t="shared" si="19"/>
        <v>9</v>
      </c>
      <c r="I213" t="str">
        <f t="shared" si="20"/>
        <v/>
      </c>
      <c r="J213" t="str">
        <f t="shared" si="21"/>
        <v/>
      </c>
      <c r="K213" t="str">
        <f t="shared" si="22"/>
        <v/>
      </c>
      <c r="L213" t="str">
        <f t="shared" si="22"/>
        <v/>
      </c>
      <c r="M213" t="b">
        <f t="shared" si="23"/>
        <v>0</v>
      </c>
    </row>
    <row r="214" spans="1:13" ht="15.75" x14ac:dyDescent="0.3">
      <c r="A214" s="2">
        <v>45551</v>
      </c>
      <c r="B214" s="1">
        <v>0</v>
      </c>
      <c r="C214" s="1">
        <v>46091</v>
      </c>
      <c r="D214" s="3">
        <f t="shared" si="24"/>
        <v>-46091</v>
      </c>
      <c r="E214" s="1">
        <v>0</v>
      </c>
      <c r="F214" s="1">
        <v>7685315.9215410398</v>
      </c>
      <c r="G214" s="1"/>
      <c r="H214">
        <f t="shared" si="19"/>
        <v>9</v>
      </c>
      <c r="I214" t="str">
        <f t="shared" si="20"/>
        <v/>
      </c>
      <c r="J214" t="str">
        <f t="shared" si="21"/>
        <v/>
      </c>
      <c r="K214" t="str">
        <f t="shared" si="22"/>
        <v/>
      </c>
      <c r="L214" t="str">
        <f t="shared" si="22"/>
        <v/>
      </c>
      <c r="M214" t="b">
        <f t="shared" si="23"/>
        <v>0</v>
      </c>
    </row>
    <row r="215" spans="1:13" ht="15.75" x14ac:dyDescent="0.3">
      <c r="A215" s="2">
        <v>45552</v>
      </c>
      <c r="B215" s="1">
        <v>0</v>
      </c>
      <c r="C215" s="1">
        <v>13886</v>
      </c>
      <c r="D215" s="3">
        <f t="shared" si="24"/>
        <v>-13886</v>
      </c>
      <c r="E215" s="1">
        <v>0</v>
      </c>
      <c r="F215" s="1">
        <v>7497690.8451939607</v>
      </c>
      <c r="G215" s="1"/>
      <c r="H215">
        <f t="shared" si="19"/>
        <v>9</v>
      </c>
      <c r="I215" t="str">
        <f t="shared" si="20"/>
        <v/>
      </c>
      <c r="J215" t="str">
        <f t="shared" si="21"/>
        <v/>
      </c>
      <c r="K215" t="str">
        <f t="shared" si="22"/>
        <v/>
      </c>
      <c r="L215" t="str">
        <f t="shared" si="22"/>
        <v/>
      </c>
      <c r="M215" t="b">
        <f t="shared" si="23"/>
        <v>0</v>
      </c>
    </row>
    <row r="216" spans="1:13" ht="15.75" x14ac:dyDescent="0.3">
      <c r="A216" s="2">
        <v>45553</v>
      </c>
      <c r="B216" s="1">
        <v>0</v>
      </c>
      <c r="C216" s="1">
        <v>38992</v>
      </c>
      <c r="D216" s="3">
        <f t="shared" si="24"/>
        <v>-38992</v>
      </c>
      <c r="E216" s="1">
        <v>0</v>
      </c>
      <c r="F216" s="1">
        <v>7446977.8398178229</v>
      </c>
      <c r="G216" s="1"/>
      <c r="H216">
        <f t="shared" si="19"/>
        <v>9</v>
      </c>
      <c r="I216" t="str">
        <f t="shared" si="20"/>
        <v/>
      </c>
      <c r="J216" t="str">
        <f t="shared" si="21"/>
        <v/>
      </c>
      <c r="K216" t="str">
        <f t="shared" si="22"/>
        <v/>
      </c>
      <c r="L216" t="str">
        <f t="shared" si="22"/>
        <v/>
      </c>
      <c r="M216" t="b">
        <f t="shared" si="23"/>
        <v>0</v>
      </c>
    </row>
    <row r="217" spans="1:13" ht="15.75" x14ac:dyDescent="0.3">
      <c r="A217" s="2">
        <v>45554</v>
      </c>
      <c r="B217" s="1">
        <v>0</v>
      </c>
      <c r="C217" s="1">
        <v>31625</v>
      </c>
      <c r="D217" s="3">
        <f t="shared" si="24"/>
        <v>-31625</v>
      </c>
      <c r="E217" s="1">
        <v>0</v>
      </c>
      <c r="F217" s="1">
        <v>8210890.2294262331</v>
      </c>
      <c r="G217" s="1"/>
      <c r="H217">
        <f t="shared" si="19"/>
        <v>9</v>
      </c>
      <c r="I217" t="str">
        <f t="shared" si="20"/>
        <v/>
      </c>
      <c r="J217" t="str">
        <f t="shared" si="21"/>
        <v/>
      </c>
      <c r="K217" t="str">
        <f t="shared" si="22"/>
        <v/>
      </c>
      <c r="L217" t="str">
        <f t="shared" si="22"/>
        <v/>
      </c>
      <c r="M217" t="b">
        <f t="shared" si="23"/>
        <v>0</v>
      </c>
    </row>
    <row r="218" spans="1:13" ht="15.75" x14ac:dyDescent="0.3">
      <c r="A218" s="2">
        <v>45555</v>
      </c>
      <c r="B218" s="1">
        <v>0</v>
      </c>
      <c r="C218" s="1">
        <v>58616</v>
      </c>
      <c r="D218" s="3">
        <f t="shared" si="24"/>
        <v>-58616</v>
      </c>
      <c r="E218" s="1">
        <v>0</v>
      </c>
      <c r="F218" s="1">
        <v>7979934.7414307883</v>
      </c>
      <c r="G218" s="1"/>
      <c r="H218">
        <f t="shared" si="19"/>
        <v>9</v>
      </c>
      <c r="I218" t="str">
        <f t="shared" si="20"/>
        <v/>
      </c>
      <c r="J218" t="str">
        <f t="shared" si="21"/>
        <v/>
      </c>
      <c r="K218" t="str">
        <f t="shared" si="22"/>
        <v/>
      </c>
      <c r="L218" t="str">
        <f t="shared" si="22"/>
        <v/>
      </c>
      <c r="M218" t="b">
        <f t="shared" si="23"/>
        <v>0</v>
      </c>
    </row>
    <row r="219" spans="1:13" ht="15.75" x14ac:dyDescent="0.3">
      <c r="A219" s="2">
        <v>45558</v>
      </c>
      <c r="B219" s="1">
        <v>0</v>
      </c>
      <c r="C219" s="1">
        <v>116789</v>
      </c>
      <c r="D219" s="3">
        <f t="shared" si="24"/>
        <v>-116789</v>
      </c>
      <c r="E219" s="1">
        <v>0</v>
      </c>
      <c r="F219" s="1">
        <v>8328544.8449405804</v>
      </c>
      <c r="G219" s="1"/>
      <c r="H219">
        <f t="shared" si="19"/>
        <v>9</v>
      </c>
      <c r="I219" t="str">
        <f t="shared" si="20"/>
        <v/>
      </c>
      <c r="J219" t="str">
        <f t="shared" si="21"/>
        <v/>
      </c>
      <c r="K219" t="str">
        <f t="shared" si="22"/>
        <v/>
      </c>
      <c r="L219" t="str">
        <f t="shared" si="22"/>
        <v/>
      </c>
      <c r="M219" t="b">
        <f t="shared" si="23"/>
        <v>0</v>
      </c>
    </row>
    <row r="220" spans="1:13" ht="15.75" x14ac:dyDescent="0.3">
      <c r="A220" s="2">
        <v>45559</v>
      </c>
      <c r="B220" s="1">
        <v>0</v>
      </c>
      <c r="C220" s="1">
        <v>64901</v>
      </c>
      <c r="D220" s="3">
        <f t="shared" si="24"/>
        <v>-64901</v>
      </c>
      <c r="E220" s="1">
        <v>0</v>
      </c>
      <c r="F220" s="1">
        <v>8971759.5113296788</v>
      </c>
      <c r="G220" s="1"/>
      <c r="H220">
        <f t="shared" si="19"/>
        <v>9</v>
      </c>
      <c r="I220" t="str">
        <f t="shared" si="20"/>
        <v/>
      </c>
      <c r="J220" t="str">
        <f t="shared" si="21"/>
        <v/>
      </c>
      <c r="K220" t="str">
        <f t="shared" si="22"/>
        <v/>
      </c>
      <c r="L220" t="str">
        <f t="shared" si="22"/>
        <v/>
      </c>
      <c r="M220" t="b">
        <f t="shared" si="23"/>
        <v>0</v>
      </c>
    </row>
    <row r="221" spans="1:13" ht="15.75" x14ac:dyDescent="0.3">
      <c r="A221" s="2">
        <v>45560</v>
      </c>
      <c r="B221" s="1">
        <v>0</v>
      </c>
      <c r="C221" s="1">
        <v>24215</v>
      </c>
      <c r="D221" s="3">
        <f t="shared" si="24"/>
        <v>-24215</v>
      </c>
      <c r="E221" s="1">
        <v>0</v>
      </c>
      <c r="F221" s="1">
        <v>8980974.2767695114</v>
      </c>
      <c r="G221" s="1"/>
      <c r="H221">
        <f t="shared" si="19"/>
        <v>9</v>
      </c>
      <c r="I221" t="str">
        <f t="shared" si="20"/>
        <v/>
      </c>
      <c r="J221" t="str">
        <f t="shared" si="21"/>
        <v/>
      </c>
      <c r="K221" t="str">
        <f t="shared" si="22"/>
        <v/>
      </c>
      <c r="L221" t="str">
        <f t="shared" si="22"/>
        <v/>
      </c>
      <c r="M221" t="b">
        <f t="shared" si="23"/>
        <v>0</v>
      </c>
    </row>
    <row r="222" spans="1:13" ht="15.75" x14ac:dyDescent="0.3">
      <c r="A222" s="2">
        <v>45561</v>
      </c>
      <c r="B222" s="1">
        <v>0</v>
      </c>
      <c r="C222" s="1">
        <v>18821</v>
      </c>
      <c r="D222" s="3">
        <f t="shared" si="24"/>
        <v>-18821</v>
      </c>
      <c r="E222" s="1">
        <v>0</v>
      </c>
      <c r="F222" s="1">
        <v>9237228.6965966951</v>
      </c>
      <c r="G222" s="1"/>
      <c r="H222">
        <f t="shared" si="19"/>
        <v>9</v>
      </c>
      <c r="I222" t="str">
        <f t="shared" si="20"/>
        <v/>
      </c>
      <c r="J222" t="str">
        <f t="shared" si="21"/>
        <v/>
      </c>
      <c r="K222" t="str">
        <f t="shared" si="22"/>
        <v/>
      </c>
      <c r="L222" t="str">
        <f t="shared" si="22"/>
        <v/>
      </c>
      <c r="M222" t="b">
        <f t="shared" si="23"/>
        <v>0</v>
      </c>
    </row>
    <row r="223" spans="1:13" ht="15.75" x14ac:dyDescent="0.3">
      <c r="A223" s="2">
        <v>45562</v>
      </c>
      <c r="B223" s="1">
        <v>0</v>
      </c>
      <c r="C223" s="1">
        <v>25144</v>
      </c>
      <c r="D223" s="3">
        <f t="shared" si="24"/>
        <v>-25144</v>
      </c>
      <c r="E223" s="1">
        <v>0</v>
      </c>
      <c r="F223" s="1">
        <v>9168457.1627893634</v>
      </c>
      <c r="G223" s="1"/>
      <c r="H223">
        <f t="shared" si="19"/>
        <v>9</v>
      </c>
      <c r="I223" t="str">
        <f t="shared" si="20"/>
        <v/>
      </c>
      <c r="J223" t="str">
        <f t="shared" si="21"/>
        <v/>
      </c>
      <c r="K223" t="str">
        <f t="shared" si="22"/>
        <v/>
      </c>
      <c r="L223" t="str">
        <f t="shared" si="22"/>
        <v/>
      </c>
      <c r="M223" t="b">
        <f t="shared" si="23"/>
        <v>0</v>
      </c>
    </row>
    <row r="224" spans="1:13" ht="15.75" x14ac:dyDescent="0.3">
      <c r="A224" s="2">
        <v>45565</v>
      </c>
      <c r="B224" s="1">
        <v>0</v>
      </c>
      <c r="C224" s="1">
        <v>164436</v>
      </c>
      <c r="D224" s="3">
        <f t="shared" si="24"/>
        <v>-164436</v>
      </c>
      <c r="E224" s="1">
        <v>0</v>
      </c>
      <c r="F224" s="1">
        <v>11143865.18303797</v>
      </c>
      <c r="G224" s="1"/>
      <c r="H224">
        <f t="shared" si="19"/>
        <v>9</v>
      </c>
      <c r="I224">
        <f t="shared" si="20"/>
        <v>-164436</v>
      </c>
      <c r="J224">
        <f t="shared" si="21"/>
        <v>0</v>
      </c>
      <c r="K224">
        <f t="shared" si="22"/>
        <v>11143865.18303797</v>
      </c>
      <c r="L224">
        <f t="shared" si="22"/>
        <v>0</v>
      </c>
      <c r="M224" t="b">
        <f t="shared" si="23"/>
        <v>1</v>
      </c>
    </row>
    <row r="225" spans="1:13" ht="15.75" x14ac:dyDescent="0.3">
      <c r="A225" s="2">
        <v>45566</v>
      </c>
      <c r="B225" s="1">
        <v>0</v>
      </c>
      <c r="C225" s="1">
        <v>18350</v>
      </c>
      <c r="D225" s="3">
        <f t="shared" si="24"/>
        <v>-18350</v>
      </c>
      <c r="E225" s="1">
        <v>0</v>
      </c>
      <c r="F225" s="1">
        <v>9817146.7094092164</v>
      </c>
      <c r="G225" s="1"/>
      <c r="H225">
        <f t="shared" si="19"/>
        <v>10</v>
      </c>
      <c r="I225" t="str">
        <f t="shared" si="20"/>
        <v/>
      </c>
      <c r="J225" t="str">
        <f t="shared" si="21"/>
        <v/>
      </c>
      <c r="K225" t="str">
        <f t="shared" si="22"/>
        <v/>
      </c>
      <c r="L225" t="str">
        <f t="shared" si="22"/>
        <v/>
      </c>
      <c r="M225" t="b">
        <f t="shared" si="23"/>
        <v>0</v>
      </c>
    </row>
    <row r="226" spans="1:13" ht="15.75" x14ac:dyDescent="0.3">
      <c r="A226" s="2">
        <v>45567</v>
      </c>
      <c r="B226" s="1">
        <v>0</v>
      </c>
      <c r="C226" s="1">
        <v>16468</v>
      </c>
      <c r="D226" s="3">
        <f t="shared" si="24"/>
        <v>-16468</v>
      </c>
      <c r="E226" s="1">
        <v>0</v>
      </c>
      <c r="F226" s="1">
        <v>9573729.2816473041</v>
      </c>
      <c r="G226" s="1"/>
      <c r="H226">
        <f t="shared" si="19"/>
        <v>10</v>
      </c>
      <c r="I226" t="str">
        <f t="shared" si="20"/>
        <v/>
      </c>
      <c r="J226" t="str">
        <f t="shared" si="21"/>
        <v/>
      </c>
      <c r="K226" t="str">
        <f t="shared" si="22"/>
        <v/>
      </c>
      <c r="L226" t="str">
        <f t="shared" si="22"/>
        <v/>
      </c>
      <c r="M226" t="b">
        <f t="shared" si="23"/>
        <v>0</v>
      </c>
    </row>
    <row r="227" spans="1:13" ht="15.75" x14ac:dyDescent="0.3">
      <c r="A227" s="2">
        <v>45568</v>
      </c>
      <c r="B227" s="1">
        <v>0</v>
      </c>
      <c r="C227" s="1">
        <v>16478</v>
      </c>
      <c r="D227" s="3">
        <f t="shared" si="24"/>
        <v>-16478</v>
      </c>
      <c r="E227" s="1">
        <v>0</v>
      </c>
      <c r="F227" s="1">
        <v>9606183.931100253</v>
      </c>
      <c r="G227" s="1"/>
      <c r="H227">
        <f t="shared" si="19"/>
        <v>10</v>
      </c>
      <c r="I227" t="str">
        <f t="shared" si="20"/>
        <v/>
      </c>
      <c r="J227" t="str">
        <f t="shared" si="21"/>
        <v/>
      </c>
      <c r="K227" t="str">
        <f t="shared" si="22"/>
        <v/>
      </c>
      <c r="L227" t="str">
        <f t="shared" si="22"/>
        <v/>
      </c>
      <c r="M227" t="b">
        <f t="shared" si="23"/>
        <v>0</v>
      </c>
    </row>
    <row r="228" spans="1:13" ht="15.75" x14ac:dyDescent="0.3">
      <c r="A228" s="2">
        <v>45569</v>
      </c>
      <c r="B228" s="1">
        <v>0</v>
      </c>
      <c r="C228" s="1">
        <v>15058</v>
      </c>
      <c r="D228" s="3">
        <f t="shared" si="24"/>
        <v>-15058</v>
      </c>
      <c r="E228" s="1">
        <v>0</v>
      </c>
      <c r="F228" s="1">
        <v>9748986.5474332515</v>
      </c>
      <c r="G228" s="1"/>
      <c r="H228">
        <f t="shared" si="19"/>
        <v>10</v>
      </c>
      <c r="I228" t="str">
        <f t="shared" si="20"/>
        <v/>
      </c>
      <c r="J228" t="str">
        <f t="shared" si="21"/>
        <v/>
      </c>
      <c r="K228" t="str">
        <f t="shared" si="22"/>
        <v/>
      </c>
      <c r="L228" t="str">
        <f t="shared" si="22"/>
        <v/>
      </c>
      <c r="M228" t="b">
        <f t="shared" si="23"/>
        <v>0</v>
      </c>
    </row>
    <row r="229" spans="1:13" ht="15.75" x14ac:dyDescent="0.3">
      <c r="A229" s="2">
        <v>45572</v>
      </c>
      <c r="B229" s="1">
        <v>0</v>
      </c>
      <c r="C229" s="1">
        <v>11517</v>
      </c>
      <c r="D229" s="3">
        <f t="shared" si="24"/>
        <v>-11517</v>
      </c>
      <c r="E229" s="1">
        <v>0</v>
      </c>
      <c r="F229" s="1">
        <v>9971575.5119478367</v>
      </c>
      <c r="G229" s="1"/>
      <c r="H229">
        <f t="shared" si="19"/>
        <v>10</v>
      </c>
      <c r="I229" t="str">
        <f t="shared" si="20"/>
        <v/>
      </c>
      <c r="J229" t="str">
        <f t="shared" si="21"/>
        <v/>
      </c>
      <c r="K229" t="str">
        <f t="shared" si="22"/>
        <v/>
      </c>
      <c r="L229" t="str">
        <f t="shared" si="22"/>
        <v/>
      </c>
      <c r="M229" t="b">
        <f t="shared" si="23"/>
        <v>0</v>
      </c>
    </row>
    <row r="230" spans="1:13" ht="15.75" x14ac:dyDescent="0.3">
      <c r="A230" s="2">
        <v>45573</v>
      </c>
      <c r="B230" s="1">
        <v>0</v>
      </c>
      <c r="C230" s="1">
        <v>10985</v>
      </c>
      <c r="D230" s="3">
        <f t="shared" si="24"/>
        <v>-10985</v>
      </c>
      <c r="E230" s="1">
        <v>0</v>
      </c>
      <c r="F230" s="1">
        <v>10033732.89945258</v>
      </c>
      <c r="G230" s="1"/>
      <c r="H230">
        <f t="shared" si="19"/>
        <v>10</v>
      </c>
      <c r="I230" t="str">
        <f t="shared" si="20"/>
        <v/>
      </c>
      <c r="J230" t="str">
        <f t="shared" si="21"/>
        <v/>
      </c>
      <c r="K230" t="str">
        <f t="shared" si="22"/>
        <v/>
      </c>
      <c r="L230" t="str">
        <f t="shared" si="22"/>
        <v/>
      </c>
      <c r="M230" t="b">
        <f t="shared" si="23"/>
        <v>0</v>
      </c>
    </row>
    <row r="231" spans="1:13" ht="15.75" x14ac:dyDescent="0.3">
      <c r="A231" s="2">
        <v>45574</v>
      </c>
      <c r="B231" s="1">
        <v>0</v>
      </c>
      <c r="C231" s="1">
        <v>10315</v>
      </c>
      <c r="D231" s="3">
        <f t="shared" si="24"/>
        <v>-10315</v>
      </c>
      <c r="E231" s="1">
        <v>0</v>
      </c>
      <c r="F231" s="1">
        <v>10164042.621447681</v>
      </c>
      <c r="G231" s="1"/>
      <c r="H231">
        <f t="shared" si="19"/>
        <v>10</v>
      </c>
      <c r="I231" t="str">
        <f t="shared" si="20"/>
        <v/>
      </c>
      <c r="J231" t="str">
        <f t="shared" si="21"/>
        <v/>
      </c>
      <c r="K231" t="str">
        <f t="shared" si="22"/>
        <v/>
      </c>
      <c r="L231" t="str">
        <f t="shared" si="22"/>
        <v/>
      </c>
      <c r="M231" t="b">
        <f t="shared" si="23"/>
        <v>0</v>
      </c>
    </row>
    <row r="232" spans="1:13" ht="15.75" x14ac:dyDescent="0.3">
      <c r="A232" s="2">
        <v>45575</v>
      </c>
      <c r="B232" s="1">
        <v>0</v>
      </c>
      <c r="C232" s="1">
        <v>380388</v>
      </c>
      <c r="D232" s="3">
        <f t="shared" si="24"/>
        <v>-380388</v>
      </c>
      <c r="E232" s="1">
        <v>0</v>
      </c>
      <c r="F232" s="1">
        <v>9573387.8392642904</v>
      </c>
      <c r="G232" s="1"/>
      <c r="H232">
        <f t="shared" si="19"/>
        <v>10</v>
      </c>
      <c r="I232" t="str">
        <f t="shared" si="20"/>
        <v/>
      </c>
      <c r="J232" t="str">
        <f t="shared" si="21"/>
        <v/>
      </c>
      <c r="K232" t="str">
        <f t="shared" si="22"/>
        <v/>
      </c>
      <c r="L232" t="str">
        <f t="shared" si="22"/>
        <v/>
      </c>
      <c r="M232" t="b">
        <f t="shared" si="23"/>
        <v>0</v>
      </c>
    </row>
    <row r="233" spans="1:13" ht="15.75" x14ac:dyDescent="0.3">
      <c r="A233" s="2">
        <v>45579</v>
      </c>
      <c r="B233" s="1">
        <v>0</v>
      </c>
      <c r="C233" s="1">
        <v>521141</v>
      </c>
      <c r="D233" s="3">
        <f t="shared" si="24"/>
        <v>-521141</v>
      </c>
      <c r="E233" s="1">
        <v>0</v>
      </c>
      <c r="F233" s="1">
        <v>10392898.185034189</v>
      </c>
      <c r="G233" s="1"/>
      <c r="H233">
        <f t="shared" si="19"/>
        <v>10</v>
      </c>
      <c r="I233" t="str">
        <f t="shared" si="20"/>
        <v/>
      </c>
      <c r="J233" t="str">
        <f t="shared" si="21"/>
        <v/>
      </c>
      <c r="K233" t="str">
        <f t="shared" si="22"/>
        <v/>
      </c>
      <c r="L233" t="str">
        <f t="shared" si="22"/>
        <v/>
      </c>
      <c r="M233" t="b">
        <f t="shared" si="23"/>
        <v>0</v>
      </c>
    </row>
    <row r="234" spans="1:13" ht="15.75" x14ac:dyDescent="0.3">
      <c r="A234" s="2">
        <v>45580</v>
      </c>
      <c r="B234" s="1">
        <v>0</v>
      </c>
      <c r="C234" s="1">
        <v>252954</v>
      </c>
      <c r="D234" s="3">
        <f t="shared" si="24"/>
        <v>-252954</v>
      </c>
      <c r="E234" s="1">
        <v>0</v>
      </c>
      <c r="F234" s="1">
        <v>10949548.510423129</v>
      </c>
      <c r="G234" s="1"/>
      <c r="H234">
        <f t="shared" si="19"/>
        <v>10</v>
      </c>
      <c r="I234" t="str">
        <f t="shared" si="20"/>
        <v/>
      </c>
      <c r="J234" t="str">
        <f t="shared" si="21"/>
        <v/>
      </c>
      <c r="K234" t="str">
        <f t="shared" si="22"/>
        <v/>
      </c>
      <c r="L234" t="str">
        <f t="shared" si="22"/>
        <v/>
      </c>
      <c r="M234" t="b">
        <f t="shared" si="23"/>
        <v>0</v>
      </c>
    </row>
    <row r="235" spans="1:13" ht="15.75" x14ac:dyDescent="0.3">
      <c r="A235" s="2">
        <v>45581</v>
      </c>
      <c r="B235" s="1">
        <v>0</v>
      </c>
      <c r="C235" s="1">
        <v>369362</v>
      </c>
      <c r="D235" s="3">
        <f t="shared" si="24"/>
        <v>-369362</v>
      </c>
      <c r="E235" s="1">
        <v>0</v>
      </c>
      <c r="F235" s="1">
        <v>11214358.85542202</v>
      </c>
      <c r="G235" s="1"/>
      <c r="H235">
        <f t="shared" si="19"/>
        <v>10</v>
      </c>
      <c r="I235" t="str">
        <f t="shared" si="20"/>
        <v/>
      </c>
      <c r="J235" t="str">
        <f t="shared" si="21"/>
        <v/>
      </c>
      <c r="K235" t="str">
        <f t="shared" si="22"/>
        <v/>
      </c>
      <c r="L235" t="str">
        <f t="shared" si="22"/>
        <v/>
      </c>
      <c r="M235" t="b">
        <f t="shared" si="23"/>
        <v>0</v>
      </c>
    </row>
    <row r="236" spans="1:13" ht="15.75" x14ac:dyDescent="0.3">
      <c r="A236" s="2">
        <v>45582</v>
      </c>
      <c r="B236" s="1">
        <v>0</v>
      </c>
      <c r="C236" s="1">
        <v>48468</v>
      </c>
      <c r="D236" s="3">
        <f t="shared" si="24"/>
        <v>-48468</v>
      </c>
      <c r="E236" s="1">
        <v>0</v>
      </c>
      <c r="F236" s="1">
        <v>10898242.560340989</v>
      </c>
      <c r="G236" s="1"/>
      <c r="H236">
        <f t="shared" si="19"/>
        <v>10</v>
      </c>
      <c r="I236" t="str">
        <f t="shared" si="20"/>
        <v/>
      </c>
      <c r="J236" t="str">
        <f t="shared" si="21"/>
        <v/>
      </c>
      <c r="K236" t="str">
        <f t="shared" si="22"/>
        <v/>
      </c>
      <c r="L236" t="str">
        <f t="shared" si="22"/>
        <v/>
      </c>
      <c r="M236" t="b">
        <f t="shared" si="23"/>
        <v>0</v>
      </c>
    </row>
    <row r="237" spans="1:13" ht="15.75" x14ac:dyDescent="0.3">
      <c r="A237" s="2">
        <v>45583</v>
      </c>
      <c r="B237" s="1">
        <v>0</v>
      </c>
      <c r="C237" s="1">
        <v>58872</v>
      </c>
      <c r="D237" s="3">
        <f t="shared" si="24"/>
        <v>-58872</v>
      </c>
      <c r="E237" s="1">
        <v>0</v>
      </c>
      <c r="F237" s="1">
        <v>11194020.093175281</v>
      </c>
      <c r="G237" s="1"/>
      <c r="H237">
        <f t="shared" si="19"/>
        <v>10</v>
      </c>
      <c r="I237" t="str">
        <f t="shared" si="20"/>
        <v/>
      </c>
      <c r="J237" t="str">
        <f t="shared" si="21"/>
        <v/>
      </c>
      <c r="K237" t="str">
        <f t="shared" si="22"/>
        <v/>
      </c>
      <c r="L237" t="str">
        <f t="shared" si="22"/>
        <v/>
      </c>
      <c r="M237" t="b">
        <f t="shared" si="23"/>
        <v>0</v>
      </c>
    </row>
    <row r="238" spans="1:13" ht="15.75" x14ac:dyDescent="0.3">
      <c r="A238" s="2">
        <v>45586</v>
      </c>
      <c r="B238" s="1">
        <v>0</v>
      </c>
      <c r="C238" s="1">
        <v>169764</v>
      </c>
      <c r="D238" s="3">
        <f t="shared" si="24"/>
        <v>-169764</v>
      </c>
      <c r="E238" s="1">
        <v>0</v>
      </c>
      <c r="F238" s="1">
        <v>11135111.230245911</v>
      </c>
      <c r="G238" s="1"/>
      <c r="H238">
        <f t="shared" si="19"/>
        <v>10</v>
      </c>
      <c r="I238" t="str">
        <f t="shared" si="20"/>
        <v/>
      </c>
      <c r="J238" t="str">
        <f t="shared" si="21"/>
        <v/>
      </c>
      <c r="K238" t="str">
        <f t="shared" si="22"/>
        <v/>
      </c>
      <c r="L238" t="str">
        <f t="shared" si="22"/>
        <v/>
      </c>
      <c r="M238" t="b">
        <f t="shared" si="23"/>
        <v>0</v>
      </c>
    </row>
    <row r="239" spans="1:13" ht="15.75" x14ac:dyDescent="0.3">
      <c r="A239" s="2">
        <v>45587</v>
      </c>
      <c r="B239" s="1">
        <v>0</v>
      </c>
      <c r="C239" s="1">
        <v>199904</v>
      </c>
      <c r="D239" s="3">
        <f t="shared" si="24"/>
        <v>-199904</v>
      </c>
      <c r="E239" s="1">
        <v>0</v>
      </c>
      <c r="F239" s="1">
        <v>11000835.10085145</v>
      </c>
      <c r="G239" s="1"/>
      <c r="H239">
        <f t="shared" si="19"/>
        <v>10</v>
      </c>
      <c r="I239" t="str">
        <f t="shared" si="20"/>
        <v/>
      </c>
      <c r="J239" t="str">
        <f t="shared" si="21"/>
        <v/>
      </c>
      <c r="K239" t="str">
        <f t="shared" si="22"/>
        <v/>
      </c>
      <c r="L239" t="str">
        <f t="shared" si="22"/>
        <v/>
      </c>
      <c r="M239" t="b">
        <f t="shared" si="23"/>
        <v>0</v>
      </c>
    </row>
    <row r="240" spans="1:13" ht="15.75" x14ac:dyDescent="0.3">
      <c r="A240" s="2">
        <v>45588</v>
      </c>
      <c r="B240" s="1">
        <v>0</v>
      </c>
      <c r="C240" s="1">
        <v>299864</v>
      </c>
      <c r="D240" s="3">
        <f t="shared" si="24"/>
        <v>-299864</v>
      </c>
      <c r="E240" s="1">
        <v>0</v>
      </c>
      <c r="F240" s="1">
        <v>11427178.32900227</v>
      </c>
      <c r="G240" s="1"/>
      <c r="H240">
        <f t="shared" si="19"/>
        <v>10</v>
      </c>
      <c r="I240" t="str">
        <f t="shared" si="20"/>
        <v/>
      </c>
      <c r="J240" t="str">
        <f t="shared" si="21"/>
        <v/>
      </c>
      <c r="K240" t="str">
        <f t="shared" si="22"/>
        <v/>
      </c>
      <c r="L240" t="str">
        <f t="shared" si="22"/>
        <v/>
      </c>
      <c r="M240" t="b">
        <f t="shared" si="23"/>
        <v>0</v>
      </c>
    </row>
    <row r="241" spans="1:13" ht="15.75" x14ac:dyDescent="0.3">
      <c r="A241" s="2">
        <v>45589</v>
      </c>
      <c r="B241" s="1">
        <v>0</v>
      </c>
      <c r="C241" s="1">
        <v>203404</v>
      </c>
      <c r="D241" s="3">
        <f t="shared" si="24"/>
        <v>-203404</v>
      </c>
      <c r="E241" s="1">
        <v>0</v>
      </c>
      <c r="F241" s="1">
        <v>11631850.67712782</v>
      </c>
      <c r="G241" s="1"/>
      <c r="H241">
        <f t="shared" si="19"/>
        <v>10</v>
      </c>
      <c r="I241" t="str">
        <f t="shared" si="20"/>
        <v/>
      </c>
      <c r="J241" t="str">
        <f t="shared" si="21"/>
        <v/>
      </c>
      <c r="K241" t="str">
        <f t="shared" si="22"/>
        <v/>
      </c>
      <c r="L241" t="str">
        <f t="shared" si="22"/>
        <v/>
      </c>
      <c r="M241" t="b">
        <f t="shared" si="23"/>
        <v>0</v>
      </c>
    </row>
    <row r="242" spans="1:13" ht="15.75" x14ac:dyDescent="0.3">
      <c r="A242" s="2">
        <v>45590</v>
      </c>
      <c r="B242" s="1">
        <v>0</v>
      </c>
      <c r="C242" s="1">
        <v>64542</v>
      </c>
      <c r="D242" s="3">
        <f t="shared" si="24"/>
        <v>-64542</v>
      </c>
      <c r="E242" s="1">
        <v>0</v>
      </c>
      <c r="F242" s="1">
        <v>11388381.77984333</v>
      </c>
      <c r="G242" s="1"/>
      <c r="H242">
        <f t="shared" si="19"/>
        <v>10</v>
      </c>
      <c r="I242" t="str">
        <f t="shared" si="20"/>
        <v/>
      </c>
      <c r="J242" t="str">
        <f t="shared" si="21"/>
        <v/>
      </c>
      <c r="K242" t="str">
        <f t="shared" si="22"/>
        <v/>
      </c>
      <c r="L242" t="str">
        <f t="shared" si="22"/>
        <v/>
      </c>
      <c r="M242" t="b">
        <f t="shared" si="23"/>
        <v>0</v>
      </c>
    </row>
    <row r="243" spans="1:13" ht="15.75" x14ac:dyDescent="0.3">
      <c r="A243" s="2">
        <v>45593</v>
      </c>
      <c r="B243" s="1">
        <v>0</v>
      </c>
      <c r="C243" s="1">
        <v>9788</v>
      </c>
      <c r="D243" s="3">
        <f t="shared" si="24"/>
        <v>-9788</v>
      </c>
      <c r="E243" s="1">
        <v>0</v>
      </c>
      <c r="F243" s="1">
        <v>11938146.572223229</v>
      </c>
      <c r="G243" s="1"/>
      <c r="H243">
        <f t="shared" si="19"/>
        <v>10</v>
      </c>
      <c r="I243" t="str">
        <f t="shared" si="20"/>
        <v/>
      </c>
      <c r="J243" t="str">
        <f t="shared" si="21"/>
        <v/>
      </c>
      <c r="K243" t="str">
        <f t="shared" si="22"/>
        <v/>
      </c>
      <c r="L243" t="str">
        <f t="shared" si="22"/>
        <v/>
      </c>
      <c r="M243" t="b">
        <f t="shared" si="23"/>
        <v>0</v>
      </c>
    </row>
    <row r="244" spans="1:13" ht="15.75" x14ac:dyDescent="0.3">
      <c r="A244" s="2">
        <v>45594</v>
      </c>
      <c r="B244" s="1">
        <v>0</v>
      </c>
      <c r="C244" s="1">
        <v>100423</v>
      </c>
      <c r="D244" s="3">
        <f t="shared" si="24"/>
        <v>-100423</v>
      </c>
      <c r="E244" s="1">
        <v>0</v>
      </c>
      <c r="F244" s="1">
        <v>12211236.168939641</v>
      </c>
      <c r="G244" s="1"/>
      <c r="H244">
        <f t="shared" si="19"/>
        <v>10</v>
      </c>
      <c r="I244" t="str">
        <f t="shared" si="20"/>
        <v/>
      </c>
      <c r="J244" t="str">
        <f t="shared" si="21"/>
        <v/>
      </c>
      <c r="K244" t="str">
        <f t="shared" si="22"/>
        <v/>
      </c>
      <c r="L244" t="str">
        <f t="shared" si="22"/>
        <v/>
      </c>
      <c r="M244" t="b">
        <f t="shared" si="23"/>
        <v>0</v>
      </c>
    </row>
    <row r="245" spans="1:13" ht="15.75" x14ac:dyDescent="0.3">
      <c r="A245" s="2">
        <v>45595</v>
      </c>
      <c r="B245" s="1">
        <v>0</v>
      </c>
      <c r="C245" s="1">
        <v>79293</v>
      </c>
      <c r="D245" s="3">
        <f t="shared" si="24"/>
        <v>-79293</v>
      </c>
      <c r="E245" s="1">
        <v>0</v>
      </c>
      <c r="F245" s="1">
        <v>12071606.66714835</v>
      </c>
      <c r="G245" s="1"/>
      <c r="H245">
        <f t="shared" si="19"/>
        <v>10</v>
      </c>
      <c r="I245" t="str">
        <f t="shared" si="20"/>
        <v/>
      </c>
      <c r="J245" t="str">
        <f t="shared" si="21"/>
        <v/>
      </c>
      <c r="K245" t="str">
        <f t="shared" si="22"/>
        <v/>
      </c>
      <c r="L245" t="str">
        <f t="shared" si="22"/>
        <v/>
      </c>
      <c r="M245" t="b">
        <f t="shared" si="23"/>
        <v>0</v>
      </c>
    </row>
    <row r="246" spans="1:13" ht="15.75" x14ac:dyDescent="0.3">
      <c r="A246" s="2">
        <v>45596</v>
      </c>
      <c r="B246" s="1">
        <v>0</v>
      </c>
      <c r="C246" s="1">
        <v>50389</v>
      </c>
      <c r="D246" s="3">
        <f t="shared" si="24"/>
        <v>-50389</v>
      </c>
      <c r="E246" s="1">
        <v>0</v>
      </c>
      <c r="F246" s="1">
        <v>12677889.277689731</v>
      </c>
      <c r="G246" s="1"/>
      <c r="H246">
        <f t="shared" si="19"/>
        <v>10</v>
      </c>
      <c r="I246">
        <f t="shared" si="20"/>
        <v>-50389</v>
      </c>
      <c r="J246">
        <f t="shared" si="21"/>
        <v>0</v>
      </c>
      <c r="K246">
        <f t="shared" si="22"/>
        <v>12677889.277689731</v>
      </c>
      <c r="L246">
        <f t="shared" si="22"/>
        <v>0</v>
      </c>
      <c r="M246" t="b">
        <f t="shared" si="23"/>
        <v>1</v>
      </c>
    </row>
    <row r="247" spans="1:13" ht="15.75" x14ac:dyDescent="0.3">
      <c r="A247" s="2">
        <v>45597</v>
      </c>
      <c r="B247" s="1">
        <v>0</v>
      </c>
      <c r="C247" s="1">
        <v>39940</v>
      </c>
      <c r="D247" s="3">
        <f t="shared" si="24"/>
        <v>-39940</v>
      </c>
      <c r="E247" s="1">
        <v>0</v>
      </c>
      <c r="F247" s="1">
        <v>10148325.13578544</v>
      </c>
      <c r="G247" s="1"/>
      <c r="H247">
        <f t="shared" si="19"/>
        <v>11</v>
      </c>
      <c r="I247" t="str">
        <f t="shared" si="20"/>
        <v/>
      </c>
      <c r="J247" t="str">
        <f t="shared" si="21"/>
        <v/>
      </c>
      <c r="K247" t="str">
        <f t="shared" si="22"/>
        <v/>
      </c>
      <c r="L247" t="str">
        <f t="shared" si="22"/>
        <v/>
      </c>
      <c r="M247" t="b">
        <f t="shared" si="23"/>
        <v>0</v>
      </c>
    </row>
    <row r="248" spans="1:13" ht="15.75" x14ac:dyDescent="0.3">
      <c r="A248" s="2">
        <v>45600</v>
      </c>
      <c r="B248" s="1">
        <v>0</v>
      </c>
      <c r="C248" s="1">
        <v>12734</v>
      </c>
      <c r="D248" s="3">
        <f t="shared" si="24"/>
        <v>-12734</v>
      </c>
      <c r="E248" s="1">
        <v>0</v>
      </c>
      <c r="F248" s="1">
        <v>9488174.1939611137</v>
      </c>
      <c r="G248" s="1"/>
      <c r="H248">
        <f t="shared" si="19"/>
        <v>11</v>
      </c>
      <c r="I248" t="str">
        <f t="shared" si="20"/>
        <v/>
      </c>
      <c r="J248" t="str">
        <f t="shared" si="21"/>
        <v/>
      </c>
      <c r="K248" t="str">
        <f t="shared" si="22"/>
        <v/>
      </c>
      <c r="L248" t="str">
        <f t="shared" si="22"/>
        <v/>
      </c>
      <c r="M248" t="b">
        <f t="shared" si="23"/>
        <v>0</v>
      </c>
    </row>
    <row r="249" spans="1:13" ht="15.75" x14ac:dyDescent="0.3">
      <c r="A249" s="2">
        <v>45601</v>
      </c>
      <c r="B249" s="1">
        <v>0</v>
      </c>
      <c r="C249" s="1">
        <v>12824</v>
      </c>
      <c r="D249" s="3">
        <f t="shared" si="24"/>
        <v>-12824</v>
      </c>
      <c r="E249" s="1">
        <v>0</v>
      </c>
      <c r="F249" s="1">
        <v>9437552.6912427712</v>
      </c>
      <c r="G249" s="1"/>
      <c r="H249">
        <f t="shared" si="19"/>
        <v>11</v>
      </c>
      <c r="I249" t="str">
        <f t="shared" si="20"/>
        <v/>
      </c>
      <c r="J249" t="str">
        <f t="shared" si="21"/>
        <v/>
      </c>
      <c r="K249" t="str">
        <f t="shared" si="22"/>
        <v/>
      </c>
      <c r="L249" t="str">
        <f t="shared" si="22"/>
        <v/>
      </c>
      <c r="M249" t="b">
        <f t="shared" si="23"/>
        <v>0</v>
      </c>
    </row>
    <row r="250" spans="1:13" ht="15.75" x14ac:dyDescent="0.3">
      <c r="A250" s="2">
        <v>45603</v>
      </c>
      <c r="B250" s="1">
        <v>0</v>
      </c>
      <c r="C250" s="1">
        <v>115009</v>
      </c>
      <c r="D250" s="3">
        <f t="shared" si="24"/>
        <v>-115009</v>
      </c>
      <c r="E250" s="1">
        <v>0</v>
      </c>
      <c r="F250" s="1">
        <v>9748398.86717817</v>
      </c>
      <c r="G250" s="1"/>
      <c r="H250">
        <f t="shared" si="19"/>
        <v>11</v>
      </c>
      <c r="I250" t="str">
        <f t="shared" si="20"/>
        <v/>
      </c>
      <c r="J250" t="str">
        <f t="shared" si="21"/>
        <v/>
      </c>
      <c r="K250" t="str">
        <f t="shared" si="22"/>
        <v/>
      </c>
      <c r="L250" t="str">
        <f t="shared" si="22"/>
        <v/>
      </c>
      <c r="M250" t="b">
        <f t="shared" si="23"/>
        <v>0</v>
      </c>
    </row>
    <row r="251" spans="1:13" ht="15.75" x14ac:dyDescent="0.3">
      <c r="A251" s="2">
        <v>45604</v>
      </c>
      <c r="B251" s="1">
        <v>0</v>
      </c>
      <c r="C251" s="1">
        <v>157956</v>
      </c>
      <c r="D251" s="3">
        <f t="shared" si="24"/>
        <v>-157956</v>
      </c>
      <c r="E251" s="1">
        <v>0</v>
      </c>
      <c r="F251" s="1">
        <v>10317613.69491962</v>
      </c>
      <c r="G251" s="1"/>
      <c r="H251">
        <f t="shared" si="19"/>
        <v>11</v>
      </c>
      <c r="I251" t="str">
        <f t="shared" si="20"/>
        <v/>
      </c>
      <c r="J251" t="str">
        <f t="shared" si="21"/>
        <v/>
      </c>
      <c r="K251" t="str">
        <f t="shared" si="22"/>
        <v/>
      </c>
      <c r="L251" t="str">
        <f t="shared" si="22"/>
        <v/>
      </c>
      <c r="M251" t="b">
        <f t="shared" si="23"/>
        <v>0</v>
      </c>
    </row>
    <row r="252" spans="1:13" ht="15.75" x14ac:dyDescent="0.3">
      <c r="A252" s="2">
        <v>45607</v>
      </c>
      <c r="B252" s="1">
        <v>0</v>
      </c>
      <c r="C252" s="1">
        <v>63216</v>
      </c>
      <c r="D252" s="3">
        <f t="shared" si="24"/>
        <v>-63216</v>
      </c>
      <c r="E252" s="1">
        <v>0</v>
      </c>
      <c r="F252" s="1">
        <v>11631534.281324619</v>
      </c>
      <c r="G252" s="1"/>
      <c r="H252">
        <f t="shared" si="19"/>
        <v>11</v>
      </c>
      <c r="I252" t="str">
        <f t="shared" si="20"/>
        <v/>
      </c>
      <c r="J252" t="str">
        <f t="shared" si="21"/>
        <v/>
      </c>
      <c r="K252" t="str">
        <f t="shared" si="22"/>
        <v/>
      </c>
      <c r="L252" t="str">
        <f t="shared" si="22"/>
        <v/>
      </c>
      <c r="M252" t="b">
        <f t="shared" si="23"/>
        <v>0</v>
      </c>
    </row>
    <row r="253" spans="1:13" ht="15.75" x14ac:dyDescent="0.3">
      <c r="A253" s="2">
        <v>45608</v>
      </c>
      <c r="B253" s="1">
        <v>0</v>
      </c>
      <c r="C253" s="1">
        <v>19309</v>
      </c>
      <c r="D253" s="3">
        <f t="shared" si="24"/>
        <v>-19309</v>
      </c>
      <c r="E253" s="1">
        <v>0</v>
      </c>
      <c r="F253" s="1">
        <v>12273040.09937867</v>
      </c>
      <c r="G253" s="1"/>
      <c r="H253">
        <f t="shared" si="19"/>
        <v>11</v>
      </c>
      <c r="I253" t="str">
        <f t="shared" si="20"/>
        <v/>
      </c>
      <c r="J253" t="str">
        <f t="shared" si="21"/>
        <v/>
      </c>
      <c r="K253" t="str">
        <f t="shared" si="22"/>
        <v/>
      </c>
      <c r="L253" t="str">
        <f t="shared" si="22"/>
        <v/>
      </c>
      <c r="M253" t="b">
        <f t="shared" si="23"/>
        <v>0</v>
      </c>
    </row>
    <row r="254" spans="1:13" ht="15.75" x14ac:dyDescent="0.3">
      <c r="A254" s="2">
        <v>45609</v>
      </c>
      <c r="B254" s="1">
        <v>0</v>
      </c>
      <c r="C254" s="1">
        <v>61895</v>
      </c>
      <c r="D254" s="3">
        <f t="shared" si="24"/>
        <v>-61895</v>
      </c>
      <c r="E254" s="1">
        <v>0</v>
      </c>
      <c r="F254" s="1">
        <v>12482788.841152679</v>
      </c>
      <c r="G254" s="1"/>
      <c r="H254">
        <f t="shared" si="19"/>
        <v>11</v>
      </c>
      <c r="I254" t="str">
        <f t="shared" si="20"/>
        <v/>
      </c>
      <c r="J254" t="str">
        <f t="shared" si="21"/>
        <v/>
      </c>
      <c r="K254" t="str">
        <f t="shared" si="22"/>
        <v/>
      </c>
      <c r="L254" t="str">
        <f t="shared" si="22"/>
        <v/>
      </c>
      <c r="M254" t="b">
        <f t="shared" si="23"/>
        <v>0</v>
      </c>
    </row>
    <row r="255" spans="1:13" ht="15.75" x14ac:dyDescent="0.3">
      <c r="A255" s="2">
        <v>45610</v>
      </c>
      <c r="B255" s="1">
        <v>0</v>
      </c>
      <c r="C255" s="1">
        <v>19607</v>
      </c>
      <c r="D255" s="3">
        <f t="shared" si="24"/>
        <v>-19607</v>
      </c>
      <c r="E255" s="1">
        <v>0</v>
      </c>
      <c r="F255" s="1">
        <v>12820032.20542058</v>
      </c>
      <c r="G255" s="1"/>
      <c r="H255">
        <f t="shared" si="19"/>
        <v>11</v>
      </c>
      <c r="I255" t="str">
        <f t="shared" si="20"/>
        <v/>
      </c>
      <c r="J255" t="str">
        <f t="shared" si="21"/>
        <v/>
      </c>
      <c r="K255" t="str">
        <f t="shared" si="22"/>
        <v/>
      </c>
      <c r="L255" t="str">
        <f t="shared" si="22"/>
        <v/>
      </c>
      <c r="M255" t="b">
        <f t="shared" si="23"/>
        <v>0</v>
      </c>
    </row>
    <row r="256" spans="1:13" ht="15.75" x14ac:dyDescent="0.3">
      <c r="A256" s="2">
        <v>45611</v>
      </c>
      <c r="B256" s="1">
        <v>0</v>
      </c>
      <c r="C256" s="1">
        <v>72993</v>
      </c>
      <c r="D256" s="3">
        <f t="shared" si="24"/>
        <v>-72993</v>
      </c>
      <c r="E256" s="1">
        <v>0</v>
      </c>
      <c r="F256" s="1">
        <v>13241631.13340904</v>
      </c>
      <c r="G256" s="1"/>
      <c r="H256">
        <f t="shared" si="19"/>
        <v>11</v>
      </c>
      <c r="I256" t="str">
        <f t="shared" si="20"/>
        <v/>
      </c>
      <c r="J256" t="str">
        <f t="shared" si="21"/>
        <v/>
      </c>
      <c r="K256" t="str">
        <f t="shared" si="22"/>
        <v/>
      </c>
      <c r="L256" t="str">
        <f t="shared" si="22"/>
        <v/>
      </c>
      <c r="M256" t="b">
        <f t="shared" si="23"/>
        <v>0</v>
      </c>
    </row>
    <row r="257" spans="1:13" ht="15.75" x14ac:dyDescent="0.3">
      <c r="A257" s="2">
        <v>45615</v>
      </c>
      <c r="B257" s="1">
        <v>0</v>
      </c>
      <c r="C257" s="1">
        <v>60554</v>
      </c>
      <c r="D257" s="3">
        <f t="shared" si="24"/>
        <v>-60554</v>
      </c>
      <c r="E257" s="1">
        <v>0</v>
      </c>
      <c r="F257" s="1">
        <v>15275402.54667604</v>
      </c>
      <c r="G257" s="1"/>
      <c r="H257">
        <f t="shared" si="19"/>
        <v>11</v>
      </c>
      <c r="I257" t="str">
        <f t="shared" si="20"/>
        <v/>
      </c>
      <c r="J257" t="str">
        <f t="shared" si="21"/>
        <v/>
      </c>
      <c r="K257" t="str">
        <f t="shared" si="22"/>
        <v/>
      </c>
      <c r="L257" t="str">
        <f t="shared" si="22"/>
        <v/>
      </c>
      <c r="M257" t="b">
        <f t="shared" si="23"/>
        <v>0</v>
      </c>
    </row>
    <row r="258" spans="1:13" ht="15.75" x14ac:dyDescent="0.3">
      <c r="A258" s="2">
        <v>45616</v>
      </c>
      <c r="B258" s="1">
        <v>0</v>
      </c>
      <c r="C258" s="1">
        <v>11857</v>
      </c>
      <c r="D258" s="3">
        <f t="shared" si="24"/>
        <v>-11857</v>
      </c>
      <c r="E258" s="1">
        <v>0</v>
      </c>
      <c r="F258" s="1">
        <v>15352795.799462231</v>
      </c>
      <c r="G258" s="1"/>
      <c r="H258">
        <f t="shared" si="19"/>
        <v>11</v>
      </c>
      <c r="I258" t="str">
        <f t="shared" si="20"/>
        <v/>
      </c>
      <c r="J258" t="str">
        <f t="shared" si="21"/>
        <v/>
      </c>
      <c r="K258" t="str">
        <f t="shared" si="22"/>
        <v/>
      </c>
      <c r="L258" t="str">
        <f t="shared" si="22"/>
        <v/>
      </c>
      <c r="M258" t="b">
        <f t="shared" si="23"/>
        <v>0</v>
      </c>
    </row>
    <row r="259" spans="1:13" ht="15.75" x14ac:dyDescent="0.3">
      <c r="A259" s="2">
        <v>45617</v>
      </c>
      <c r="B259" s="1">
        <v>0</v>
      </c>
      <c r="C259" s="1">
        <v>63281</v>
      </c>
      <c r="D259" s="3">
        <f t="shared" si="24"/>
        <v>-63281</v>
      </c>
      <c r="E259" s="1">
        <v>0</v>
      </c>
      <c r="F259" s="1">
        <v>15634470.6978611</v>
      </c>
      <c r="G259" s="1"/>
      <c r="H259">
        <f t="shared" ref="H259:H322" si="25">+MONTH(A259)</f>
        <v>11</v>
      </c>
      <c r="I259" t="str">
        <f t="shared" ref="I259:I322" si="26">+IF($H259&lt;&gt;$H260,D259,"")</f>
        <v/>
      </c>
      <c r="J259" t="str">
        <f t="shared" ref="J259:J322" si="27">+IF($H259&lt;&gt;$H260,E259,"")</f>
        <v/>
      </c>
      <c r="K259" t="str">
        <f t="shared" ref="K259:L322" si="28">+IF($H259&lt;&gt;$H260,F259,"")</f>
        <v/>
      </c>
      <c r="L259" t="str">
        <f t="shared" si="28"/>
        <v/>
      </c>
      <c r="M259" t="b">
        <f t="shared" ref="M259:M322" si="29">+$H259&lt;&gt;$H260</f>
        <v>0</v>
      </c>
    </row>
    <row r="260" spans="1:13" ht="15.75" x14ac:dyDescent="0.3">
      <c r="A260" s="2">
        <v>45618</v>
      </c>
      <c r="B260" s="1">
        <v>0</v>
      </c>
      <c r="C260" s="1">
        <v>119115</v>
      </c>
      <c r="D260" s="3">
        <f t="shared" si="24"/>
        <v>-119115</v>
      </c>
      <c r="E260" s="1">
        <v>0</v>
      </c>
      <c r="F260" s="1">
        <v>15490954.221516211</v>
      </c>
      <c r="G260" s="1"/>
      <c r="H260">
        <f t="shared" si="25"/>
        <v>11</v>
      </c>
      <c r="I260" t="str">
        <f t="shared" si="26"/>
        <v/>
      </c>
      <c r="J260" t="str">
        <f t="shared" si="27"/>
        <v/>
      </c>
      <c r="K260" t="str">
        <f t="shared" si="28"/>
        <v/>
      </c>
      <c r="L260" t="str">
        <f t="shared" si="28"/>
        <v/>
      </c>
      <c r="M260" t="b">
        <f t="shared" si="29"/>
        <v>0</v>
      </c>
    </row>
    <row r="261" spans="1:13" ht="15.75" x14ac:dyDescent="0.3">
      <c r="A261" s="2">
        <v>45621</v>
      </c>
      <c r="B261" s="1">
        <v>0</v>
      </c>
      <c r="C261" s="1">
        <v>200918</v>
      </c>
      <c r="D261" s="3">
        <f t="shared" si="24"/>
        <v>-200918</v>
      </c>
      <c r="E261" s="1">
        <v>0</v>
      </c>
      <c r="F261" s="1">
        <v>16508336.133017421</v>
      </c>
      <c r="G261" s="1"/>
      <c r="H261">
        <f t="shared" si="25"/>
        <v>11</v>
      </c>
      <c r="I261" t="str">
        <f t="shared" si="26"/>
        <v/>
      </c>
      <c r="J261" t="str">
        <f t="shared" si="27"/>
        <v/>
      </c>
      <c r="K261" t="str">
        <f t="shared" si="28"/>
        <v/>
      </c>
      <c r="L261" t="str">
        <f t="shared" si="28"/>
        <v/>
      </c>
      <c r="M261" t="b">
        <f t="shared" si="29"/>
        <v>0</v>
      </c>
    </row>
    <row r="262" spans="1:13" ht="15.75" x14ac:dyDescent="0.3">
      <c r="A262" s="2">
        <v>45622</v>
      </c>
      <c r="B262" s="1">
        <v>0</v>
      </c>
      <c r="C262" s="1">
        <v>143648</v>
      </c>
      <c r="D262" s="3">
        <f t="shared" si="24"/>
        <v>-143648</v>
      </c>
      <c r="E262" s="1">
        <v>0</v>
      </c>
      <c r="F262" s="1">
        <v>16547182.217948601</v>
      </c>
      <c r="G262" s="1"/>
      <c r="H262">
        <f t="shared" si="25"/>
        <v>11</v>
      </c>
      <c r="I262" t="str">
        <f t="shared" si="26"/>
        <v/>
      </c>
      <c r="J262" t="str">
        <f t="shared" si="27"/>
        <v/>
      </c>
      <c r="K262" t="str">
        <f t="shared" si="28"/>
        <v/>
      </c>
      <c r="L262" t="str">
        <f t="shared" si="28"/>
        <v/>
      </c>
      <c r="M262" t="b">
        <f t="shared" si="29"/>
        <v>0</v>
      </c>
    </row>
    <row r="263" spans="1:13" ht="15.75" x14ac:dyDescent="0.3">
      <c r="A263" s="2">
        <v>45623</v>
      </c>
      <c r="B263" s="1">
        <v>0</v>
      </c>
      <c r="C263" s="1">
        <v>133573</v>
      </c>
      <c r="D263" s="3">
        <f t="shared" ref="D263:D326" si="30">+B263-C263</f>
        <v>-133573</v>
      </c>
      <c r="E263" s="1">
        <v>0</v>
      </c>
      <c r="F263" s="1">
        <v>16584201.01549188</v>
      </c>
      <c r="G263" s="1"/>
      <c r="H263">
        <f t="shared" si="25"/>
        <v>11</v>
      </c>
      <c r="I263" t="str">
        <f t="shared" si="26"/>
        <v/>
      </c>
      <c r="J263" t="str">
        <f t="shared" si="27"/>
        <v/>
      </c>
      <c r="K263" t="str">
        <f t="shared" si="28"/>
        <v/>
      </c>
      <c r="L263" t="str">
        <f t="shared" si="28"/>
        <v/>
      </c>
      <c r="M263" t="b">
        <f t="shared" si="29"/>
        <v>0</v>
      </c>
    </row>
    <row r="264" spans="1:13" ht="15.75" x14ac:dyDescent="0.3">
      <c r="A264" s="2">
        <v>45624</v>
      </c>
      <c r="B264" s="1">
        <v>0</v>
      </c>
      <c r="C264" s="1">
        <v>511035</v>
      </c>
      <c r="D264" s="3">
        <f t="shared" si="30"/>
        <v>-511035</v>
      </c>
      <c r="E264" s="1">
        <v>0</v>
      </c>
      <c r="F264" s="1">
        <v>16590358.12725956</v>
      </c>
      <c r="G264" s="1"/>
      <c r="H264">
        <f t="shared" si="25"/>
        <v>11</v>
      </c>
      <c r="I264" t="str">
        <f t="shared" si="26"/>
        <v/>
      </c>
      <c r="J264" t="str">
        <f t="shared" si="27"/>
        <v/>
      </c>
      <c r="K264" t="str">
        <f t="shared" si="28"/>
        <v/>
      </c>
      <c r="L264" t="str">
        <f t="shared" si="28"/>
        <v/>
      </c>
      <c r="M264" t="b">
        <f t="shared" si="29"/>
        <v>0</v>
      </c>
    </row>
    <row r="265" spans="1:13" ht="15.75" x14ac:dyDescent="0.3">
      <c r="A265" s="2">
        <v>45625</v>
      </c>
      <c r="B265" s="1">
        <v>0</v>
      </c>
      <c r="C265" s="1">
        <v>263134</v>
      </c>
      <c r="D265" s="3">
        <f t="shared" si="30"/>
        <v>-263134</v>
      </c>
      <c r="E265" s="1">
        <v>0</v>
      </c>
      <c r="F265" s="1">
        <v>14915258.539097</v>
      </c>
      <c r="G265" s="1"/>
      <c r="H265">
        <f t="shared" si="25"/>
        <v>11</v>
      </c>
      <c r="I265">
        <f t="shared" si="26"/>
        <v>-263134</v>
      </c>
      <c r="J265">
        <f t="shared" si="27"/>
        <v>0</v>
      </c>
      <c r="K265">
        <f t="shared" si="28"/>
        <v>14915258.539097</v>
      </c>
      <c r="L265">
        <f t="shared" si="28"/>
        <v>0</v>
      </c>
      <c r="M265" t="b">
        <f t="shared" si="29"/>
        <v>1</v>
      </c>
    </row>
    <row r="266" spans="1:13" ht="15.75" x14ac:dyDescent="0.3">
      <c r="A266" s="2">
        <v>45628</v>
      </c>
      <c r="B266" s="1">
        <v>0</v>
      </c>
      <c r="C266" s="1">
        <v>127148</v>
      </c>
      <c r="D266" s="3">
        <f t="shared" si="30"/>
        <v>-127148</v>
      </c>
      <c r="E266" s="1">
        <v>0</v>
      </c>
      <c r="F266" s="1">
        <v>13473128.91889108</v>
      </c>
      <c r="G266" s="1"/>
      <c r="H266">
        <f t="shared" si="25"/>
        <v>12</v>
      </c>
      <c r="I266" t="str">
        <f t="shared" si="26"/>
        <v/>
      </c>
      <c r="J266" t="str">
        <f t="shared" si="27"/>
        <v/>
      </c>
      <c r="K266" t="str">
        <f t="shared" si="28"/>
        <v/>
      </c>
      <c r="L266" t="str">
        <f t="shared" si="28"/>
        <v/>
      </c>
      <c r="M266" t="b">
        <f t="shared" si="29"/>
        <v>0</v>
      </c>
    </row>
    <row r="267" spans="1:13" ht="15.75" x14ac:dyDescent="0.3">
      <c r="A267" s="2">
        <v>45629</v>
      </c>
      <c r="B267" s="1">
        <v>0</v>
      </c>
      <c r="C267" s="1">
        <v>64956</v>
      </c>
      <c r="D267" s="3">
        <f t="shared" si="30"/>
        <v>-64956</v>
      </c>
      <c r="E267" s="1">
        <v>0</v>
      </c>
      <c r="F267" s="1">
        <v>11934639.45725074</v>
      </c>
      <c r="G267" s="1"/>
      <c r="H267">
        <f t="shared" si="25"/>
        <v>12</v>
      </c>
      <c r="I267" t="str">
        <f t="shared" si="26"/>
        <v/>
      </c>
      <c r="J267" t="str">
        <f t="shared" si="27"/>
        <v/>
      </c>
      <c r="K267" t="str">
        <f t="shared" si="28"/>
        <v/>
      </c>
      <c r="L267" t="str">
        <f t="shared" si="28"/>
        <v/>
      </c>
      <c r="M267" t="b">
        <f t="shared" si="29"/>
        <v>0</v>
      </c>
    </row>
    <row r="268" spans="1:13" ht="15.75" x14ac:dyDescent="0.3">
      <c r="A268" s="2">
        <v>45630</v>
      </c>
      <c r="B268" s="1">
        <v>0</v>
      </c>
      <c r="C268" s="1">
        <v>55103</v>
      </c>
      <c r="D268" s="3">
        <f t="shared" si="30"/>
        <v>-55103</v>
      </c>
      <c r="E268" s="1">
        <v>0</v>
      </c>
      <c r="F268" s="1">
        <v>12015501.162474681</v>
      </c>
      <c r="G268" s="1"/>
      <c r="H268">
        <f t="shared" si="25"/>
        <v>12</v>
      </c>
      <c r="I268" t="str">
        <f t="shared" si="26"/>
        <v/>
      </c>
      <c r="J268" t="str">
        <f t="shared" si="27"/>
        <v/>
      </c>
      <c r="K268" t="str">
        <f t="shared" si="28"/>
        <v/>
      </c>
      <c r="L268" t="str">
        <f t="shared" si="28"/>
        <v/>
      </c>
      <c r="M268" t="b">
        <f t="shared" si="29"/>
        <v>0</v>
      </c>
    </row>
    <row r="269" spans="1:13" ht="15.75" x14ac:dyDescent="0.3">
      <c r="A269" s="2">
        <v>45631</v>
      </c>
      <c r="B269" s="1">
        <v>0</v>
      </c>
      <c r="C269" s="1">
        <v>18085</v>
      </c>
      <c r="D269" s="3">
        <f t="shared" si="30"/>
        <v>-18085</v>
      </c>
      <c r="E269" s="1">
        <v>0</v>
      </c>
      <c r="F269" s="1">
        <v>12097556.42680181</v>
      </c>
      <c r="G269" s="1"/>
      <c r="H269">
        <f t="shared" si="25"/>
        <v>12</v>
      </c>
      <c r="I269" t="str">
        <f t="shared" si="26"/>
        <v/>
      </c>
      <c r="J269" t="str">
        <f t="shared" si="27"/>
        <v/>
      </c>
      <c r="K269" t="str">
        <f t="shared" si="28"/>
        <v/>
      </c>
      <c r="L269" t="str">
        <f t="shared" si="28"/>
        <v/>
      </c>
      <c r="M269" t="b">
        <f t="shared" si="29"/>
        <v>0</v>
      </c>
    </row>
    <row r="270" spans="1:13" ht="15.75" x14ac:dyDescent="0.3">
      <c r="A270" s="2">
        <v>45632</v>
      </c>
      <c r="B270" s="1">
        <v>0</v>
      </c>
      <c r="C270" s="1">
        <v>18066</v>
      </c>
      <c r="D270" s="3">
        <f t="shared" si="30"/>
        <v>-18066</v>
      </c>
      <c r="E270" s="1">
        <v>0</v>
      </c>
      <c r="F270" s="1">
        <v>11675292.45508693</v>
      </c>
      <c r="G270" s="1"/>
      <c r="H270">
        <f t="shared" si="25"/>
        <v>12</v>
      </c>
      <c r="I270" t="str">
        <f t="shared" si="26"/>
        <v/>
      </c>
      <c r="J270" t="str">
        <f t="shared" si="27"/>
        <v/>
      </c>
      <c r="K270" t="str">
        <f t="shared" si="28"/>
        <v/>
      </c>
      <c r="L270" t="str">
        <f t="shared" si="28"/>
        <v/>
      </c>
      <c r="M270" t="b">
        <f t="shared" si="29"/>
        <v>0</v>
      </c>
    </row>
    <row r="271" spans="1:13" ht="15.75" x14ac:dyDescent="0.3">
      <c r="A271" s="2">
        <v>45635</v>
      </c>
      <c r="B271" s="1">
        <v>0</v>
      </c>
      <c r="C271" s="1">
        <v>211860</v>
      </c>
      <c r="D271" s="3">
        <f t="shared" si="30"/>
        <v>-211860</v>
      </c>
      <c r="E271" s="1">
        <v>0</v>
      </c>
      <c r="F271" s="1">
        <v>11864194.594481369</v>
      </c>
      <c r="G271" s="1"/>
      <c r="H271">
        <f t="shared" si="25"/>
        <v>12</v>
      </c>
      <c r="I271" t="str">
        <f t="shared" si="26"/>
        <v/>
      </c>
      <c r="J271" t="str">
        <f t="shared" si="27"/>
        <v/>
      </c>
      <c r="K271" t="str">
        <f t="shared" si="28"/>
        <v/>
      </c>
      <c r="L271" t="str">
        <f t="shared" si="28"/>
        <v/>
      </c>
      <c r="M271" t="b">
        <f t="shared" si="29"/>
        <v>0</v>
      </c>
    </row>
    <row r="272" spans="1:13" ht="15.75" x14ac:dyDescent="0.3">
      <c r="A272" s="2">
        <v>45636</v>
      </c>
      <c r="B272" s="1">
        <v>0</v>
      </c>
      <c r="C272" s="1">
        <v>184585</v>
      </c>
      <c r="D272" s="3">
        <f t="shared" si="30"/>
        <v>-184585</v>
      </c>
      <c r="E272" s="1">
        <v>0</v>
      </c>
      <c r="F272" s="1">
        <v>12375417.357523911</v>
      </c>
      <c r="G272" s="1"/>
      <c r="H272">
        <f t="shared" si="25"/>
        <v>12</v>
      </c>
      <c r="I272" t="str">
        <f t="shared" si="26"/>
        <v/>
      </c>
      <c r="J272" t="str">
        <f t="shared" si="27"/>
        <v/>
      </c>
      <c r="K272" t="str">
        <f t="shared" si="28"/>
        <v/>
      </c>
      <c r="L272" t="str">
        <f t="shared" si="28"/>
        <v/>
      </c>
      <c r="M272" t="b">
        <f t="shared" si="29"/>
        <v>0</v>
      </c>
    </row>
    <row r="273" spans="1:13" ht="15.75" x14ac:dyDescent="0.3">
      <c r="A273" s="2">
        <v>45637</v>
      </c>
      <c r="B273" s="1">
        <v>0</v>
      </c>
      <c r="C273" s="1">
        <v>226323</v>
      </c>
      <c r="D273" s="3">
        <f t="shared" si="30"/>
        <v>-226323</v>
      </c>
      <c r="E273" s="1">
        <v>0</v>
      </c>
      <c r="F273" s="1">
        <v>12297382.54373714</v>
      </c>
      <c r="G273" s="1"/>
      <c r="H273">
        <f t="shared" si="25"/>
        <v>12</v>
      </c>
      <c r="I273" t="str">
        <f t="shared" si="26"/>
        <v/>
      </c>
      <c r="J273" t="str">
        <f t="shared" si="27"/>
        <v/>
      </c>
      <c r="K273" t="str">
        <f t="shared" si="28"/>
        <v/>
      </c>
      <c r="L273" t="str">
        <f t="shared" si="28"/>
        <v/>
      </c>
      <c r="M273" t="b">
        <f t="shared" si="29"/>
        <v>0</v>
      </c>
    </row>
    <row r="274" spans="1:13" ht="15.75" x14ac:dyDescent="0.3">
      <c r="A274" s="2">
        <v>45638</v>
      </c>
      <c r="B274" s="1">
        <v>0</v>
      </c>
      <c r="C274" s="1">
        <v>444851</v>
      </c>
      <c r="D274" s="3">
        <f t="shared" si="30"/>
        <v>-444851</v>
      </c>
      <c r="E274" s="1">
        <v>0</v>
      </c>
      <c r="F274" s="1">
        <v>12633414.68164428</v>
      </c>
      <c r="G274" s="1"/>
      <c r="H274">
        <f t="shared" si="25"/>
        <v>12</v>
      </c>
      <c r="I274" t="str">
        <f t="shared" si="26"/>
        <v/>
      </c>
      <c r="J274" t="str">
        <f t="shared" si="27"/>
        <v/>
      </c>
      <c r="K274" t="str">
        <f t="shared" si="28"/>
        <v/>
      </c>
      <c r="L274" t="str">
        <f t="shared" si="28"/>
        <v/>
      </c>
      <c r="M274" t="b">
        <f t="shared" si="29"/>
        <v>0</v>
      </c>
    </row>
    <row r="275" spans="1:13" ht="15.75" x14ac:dyDescent="0.3">
      <c r="A275" s="2">
        <v>45639</v>
      </c>
      <c r="B275" s="1">
        <v>0</v>
      </c>
      <c r="C275" s="1">
        <v>186559</v>
      </c>
      <c r="D275" s="3">
        <f t="shared" si="30"/>
        <v>-186559</v>
      </c>
      <c r="E275" s="1">
        <v>0</v>
      </c>
      <c r="F275" s="1">
        <v>12526856.78299804</v>
      </c>
      <c r="G275" s="1"/>
      <c r="H275">
        <f t="shared" si="25"/>
        <v>12</v>
      </c>
      <c r="I275" t="str">
        <f t="shared" si="26"/>
        <v/>
      </c>
      <c r="J275" t="str">
        <f t="shared" si="27"/>
        <v/>
      </c>
      <c r="K275" t="str">
        <f t="shared" si="28"/>
        <v/>
      </c>
      <c r="L275" t="str">
        <f t="shared" si="28"/>
        <v/>
      </c>
      <c r="M275" t="b">
        <f t="shared" si="29"/>
        <v>0</v>
      </c>
    </row>
    <row r="276" spans="1:13" ht="15.75" x14ac:dyDescent="0.3">
      <c r="A276" s="2">
        <v>45642</v>
      </c>
      <c r="B276" s="1">
        <v>0</v>
      </c>
      <c r="C276" s="1">
        <v>44428</v>
      </c>
      <c r="D276" s="3">
        <f t="shared" si="30"/>
        <v>-44428</v>
      </c>
      <c r="E276" s="1">
        <v>0</v>
      </c>
      <c r="F276" s="1">
        <v>12483718.407233659</v>
      </c>
      <c r="G276" s="1"/>
      <c r="H276">
        <f t="shared" si="25"/>
        <v>12</v>
      </c>
      <c r="I276" t="str">
        <f t="shared" si="26"/>
        <v/>
      </c>
      <c r="J276" t="str">
        <f t="shared" si="27"/>
        <v/>
      </c>
      <c r="K276" t="str">
        <f t="shared" si="28"/>
        <v/>
      </c>
      <c r="L276" t="str">
        <f t="shared" si="28"/>
        <v/>
      </c>
      <c r="M276" t="b">
        <f t="shared" si="29"/>
        <v>0</v>
      </c>
    </row>
    <row r="277" spans="1:13" ht="15.75" x14ac:dyDescent="0.3">
      <c r="A277" s="2">
        <v>45643</v>
      </c>
      <c r="B277" s="1">
        <v>0</v>
      </c>
      <c r="C277" s="1">
        <v>92869</v>
      </c>
      <c r="D277" s="3">
        <f t="shared" si="30"/>
        <v>-92869</v>
      </c>
      <c r="E277" s="1">
        <v>0</v>
      </c>
      <c r="F277" s="1">
        <v>12807656.38666695</v>
      </c>
      <c r="G277" s="1"/>
      <c r="H277">
        <f t="shared" si="25"/>
        <v>12</v>
      </c>
      <c r="I277" t="str">
        <f t="shared" si="26"/>
        <v/>
      </c>
      <c r="J277" t="str">
        <f t="shared" si="27"/>
        <v/>
      </c>
      <c r="K277" t="str">
        <f t="shared" si="28"/>
        <v/>
      </c>
      <c r="L277" t="str">
        <f t="shared" si="28"/>
        <v/>
      </c>
      <c r="M277" t="b">
        <f t="shared" si="29"/>
        <v>0</v>
      </c>
    </row>
    <row r="278" spans="1:13" ht="15.75" x14ac:dyDescent="0.3">
      <c r="A278" s="2">
        <v>45644</v>
      </c>
      <c r="B278" s="1">
        <v>0</v>
      </c>
      <c r="C278" s="1">
        <v>11913</v>
      </c>
      <c r="D278" s="3">
        <f t="shared" si="30"/>
        <v>-11913</v>
      </c>
      <c r="E278" s="1">
        <v>0</v>
      </c>
      <c r="F278" s="1">
        <v>12910466.61519275</v>
      </c>
      <c r="G278" s="1"/>
      <c r="H278">
        <f t="shared" si="25"/>
        <v>12</v>
      </c>
      <c r="I278" t="str">
        <f t="shared" si="26"/>
        <v/>
      </c>
      <c r="J278" t="str">
        <f t="shared" si="27"/>
        <v/>
      </c>
      <c r="K278" t="str">
        <f t="shared" si="28"/>
        <v/>
      </c>
      <c r="L278" t="str">
        <f t="shared" si="28"/>
        <v/>
      </c>
      <c r="M278" t="b">
        <f t="shared" si="29"/>
        <v>0</v>
      </c>
    </row>
    <row r="279" spans="1:13" ht="15.75" x14ac:dyDescent="0.3">
      <c r="A279" s="2">
        <v>45645</v>
      </c>
      <c r="B279" s="1">
        <v>0</v>
      </c>
      <c r="C279" s="1">
        <v>32389</v>
      </c>
      <c r="D279" s="3">
        <f t="shared" si="30"/>
        <v>-32389</v>
      </c>
      <c r="E279" s="1">
        <v>0</v>
      </c>
      <c r="F279" s="1">
        <v>12858796.12003508</v>
      </c>
      <c r="G279" s="1"/>
      <c r="H279">
        <f t="shared" si="25"/>
        <v>12</v>
      </c>
      <c r="I279" t="str">
        <f t="shared" si="26"/>
        <v/>
      </c>
      <c r="J279" t="str">
        <f t="shared" si="27"/>
        <v/>
      </c>
      <c r="K279" t="str">
        <f t="shared" si="28"/>
        <v/>
      </c>
      <c r="L279" t="str">
        <f t="shared" si="28"/>
        <v/>
      </c>
      <c r="M279" t="b">
        <f t="shared" si="29"/>
        <v>0</v>
      </c>
    </row>
    <row r="280" spans="1:13" ht="15.75" x14ac:dyDescent="0.3">
      <c r="A280" s="2">
        <v>45646</v>
      </c>
      <c r="B280" s="1">
        <v>0</v>
      </c>
      <c r="C280" s="1">
        <v>23560</v>
      </c>
      <c r="D280" s="3">
        <f t="shared" si="30"/>
        <v>-23560</v>
      </c>
      <c r="E280" s="1">
        <v>0</v>
      </c>
      <c r="F280" s="1">
        <v>12351920.95016066</v>
      </c>
      <c r="G280" s="1"/>
      <c r="H280">
        <f t="shared" si="25"/>
        <v>12</v>
      </c>
      <c r="I280" t="str">
        <f t="shared" si="26"/>
        <v/>
      </c>
      <c r="J280" t="str">
        <f t="shared" si="27"/>
        <v/>
      </c>
      <c r="K280" t="str">
        <f t="shared" si="28"/>
        <v/>
      </c>
      <c r="L280" t="str">
        <f t="shared" si="28"/>
        <v/>
      </c>
      <c r="M280" t="b">
        <f t="shared" si="29"/>
        <v>0</v>
      </c>
    </row>
    <row r="281" spans="1:13" ht="15.75" x14ac:dyDescent="0.3">
      <c r="A281" s="2">
        <v>45649</v>
      </c>
      <c r="B281" s="1">
        <v>0</v>
      </c>
      <c r="C281" s="1">
        <v>61606</v>
      </c>
      <c r="D281" s="3">
        <f t="shared" si="30"/>
        <v>-61606</v>
      </c>
      <c r="E281" s="1">
        <v>0</v>
      </c>
      <c r="F281" s="1">
        <v>12527029.754900821</v>
      </c>
      <c r="G281" s="1"/>
      <c r="H281">
        <f t="shared" si="25"/>
        <v>12</v>
      </c>
      <c r="I281" t="str">
        <f t="shared" si="26"/>
        <v/>
      </c>
      <c r="J281" t="str">
        <f t="shared" si="27"/>
        <v/>
      </c>
      <c r="K281" t="str">
        <f t="shared" si="28"/>
        <v/>
      </c>
      <c r="L281" t="str">
        <f t="shared" si="28"/>
        <v/>
      </c>
      <c r="M281" t="b">
        <f t="shared" si="29"/>
        <v>0</v>
      </c>
    </row>
    <row r="282" spans="1:13" ht="15.75" x14ac:dyDescent="0.3">
      <c r="A282" s="2">
        <v>45652</v>
      </c>
      <c r="B282" s="1">
        <v>0</v>
      </c>
      <c r="C282" s="1">
        <v>149045</v>
      </c>
      <c r="D282" s="3">
        <f t="shared" si="30"/>
        <v>-149045</v>
      </c>
      <c r="E282" s="1">
        <v>0</v>
      </c>
      <c r="F282" s="1">
        <v>12914092.24262784</v>
      </c>
      <c r="G282" s="1"/>
      <c r="H282">
        <f t="shared" si="25"/>
        <v>12</v>
      </c>
      <c r="I282" t="str">
        <f t="shared" si="26"/>
        <v/>
      </c>
      <c r="J282" t="str">
        <f t="shared" si="27"/>
        <v/>
      </c>
      <c r="K282" t="str">
        <f t="shared" si="28"/>
        <v/>
      </c>
      <c r="L282" t="str">
        <f t="shared" si="28"/>
        <v/>
      </c>
      <c r="M282" t="b">
        <f t="shared" si="29"/>
        <v>0</v>
      </c>
    </row>
    <row r="283" spans="1:13" ht="15.75" x14ac:dyDescent="0.3">
      <c r="A283" s="2">
        <v>45653</v>
      </c>
      <c r="B283" s="1">
        <v>0</v>
      </c>
      <c r="C283" s="1">
        <v>169764</v>
      </c>
      <c r="D283" s="3">
        <f t="shared" si="30"/>
        <v>-169764</v>
      </c>
      <c r="E283" s="1">
        <v>0</v>
      </c>
      <c r="F283" s="1">
        <v>12051779.91399109</v>
      </c>
      <c r="G283" s="1"/>
      <c r="H283">
        <f t="shared" si="25"/>
        <v>12</v>
      </c>
      <c r="I283" t="str">
        <f t="shared" si="26"/>
        <v/>
      </c>
      <c r="J283" t="str">
        <f t="shared" si="27"/>
        <v/>
      </c>
      <c r="K283" t="str">
        <f t="shared" si="28"/>
        <v/>
      </c>
      <c r="L283" t="str">
        <f t="shared" si="28"/>
        <v/>
      </c>
      <c r="M283" t="b">
        <f t="shared" si="29"/>
        <v>0</v>
      </c>
    </row>
    <row r="284" spans="1:13" ht="15.75" x14ac:dyDescent="0.3">
      <c r="A284" s="2">
        <v>45656</v>
      </c>
      <c r="B284" s="1">
        <v>0</v>
      </c>
      <c r="C284" s="1">
        <v>506857</v>
      </c>
      <c r="D284" s="3">
        <f t="shared" si="30"/>
        <v>-506857</v>
      </c>
      <c r="E284" s="1">
        <v>0</v>
      </c>
      <c r="F284" s="1">
        <v>10742211.481550669</v>
      </c>
      <c r="G284" s="1"/>
      <c r="H284">
        <f t="shared" si="25"/>
        <v>12</v>
      </c>
      <c r="I284">
        <f t="shared" si="26"/>
        <v>-506857</v>
      </c>
      <c r="J284">
        <f t="shared" si="27"/>
        <v>0</v>
      </c>
      <c r="K284">
        <f t="shared" si="28"/>
        <v>10742211.481550669</v>
      </c>
      <c r="L284">
        <f t="shared" si="28"/>
        <v>0</v>
      </c>
      <c r="M284" t="b">
        <f t="shared" si="29"/>
        <v>1</v>
      </c>
    </row>
    <row r="285" spans="1:13" ht="15.75" x14ac:dyDescent="0.3">
      <c r="A285" s="2">
        <v>45659</v>
      </c>
      <c r="B285" s="1">
        <v>0</v>
      </c>
      <c r="C285" s="1">
        <v>98611</v>
      </c>
      <c r="D285" s="3">
        <f t="shared" si="30"/>
        <v>-98611</v>
      </c>
      <c r="E285" s="1">
        <v>0</v>
      </c>
      <c r="F285" s="1">
        <v>9437515.5339784175</v>
      </c>
      <c r="G285" s="1"/>
      <c r="H285">
        <f t="shared" si="25"/>
        <v>1</v>
      </c>
      <c r="I285" t="str">
        <f t="shared" si="26"/>
        <v/>
      </c>
      <c r="J285" t="str">
        <f t="shared" si="27"/>
        <v/>
      </c>
      <c r="K285" t="str">
        <f t="shared" si="28"/>
        <v/>
      </c>
      <c r="L285" t="str">
        <f t="shared" si="28"/>
        <v/>
      </c>
      <c r="M285" t="b">
        <f t="shared" si="29"/>
        <v>0</v>
      </c>
    </row>
    <row r="286" spans="1:13" ht="15.75" x14ac:dyDescent="0.3">
      <c r="A286" s="2">
        <v>45660</v>
      </c>
      <c r="B286" s="1">
        <v>0</v>
      </c>
      <c r="C286" s="1">
        <v>134690</v>
      </c>
      <c r="D286" s="3">
        <f t="shared" si="30"/>
        <v>-134690</v>
      </c>
      <c r="E286" s="1">
        <v>0</v>
      </c>
      <c r="F286" s="1">
        <v>8991296.1646775901</v>
      </c>
      <c r="G286" s="1"/>
      <c r="H286">
        <f t="shared" si="25"/>
        <v>1</v>
      </c>
      <c r="I286" t="str">
        <f t="shared" si="26"/>
        <v/>
      </c>
      <c r="J286" t="str">
        <f t="shared" si="27"/>
        <v/>
      </c>
      <c r="K286" t="str">
        <f t="shared" si="28"/>
        <v/>
      </c>
      <c r="L286" t="str">
        <f t="shared" si="28"/>
        <v/>
      </c>
      <c r="M286" t="b">
        <f t="shared" si="29"/>
        <v>0</v>
      </c>
    </row>
    <row r="287" spans="1:13" ht="15.75" x14ac:dyDescent="0.3">
      <c r="A287" s="2">
        <v>45663</v>
      </c>
      <c r="B287" s="1">
        <v>0</v>
      </c>
      <c r="C287" s="1">
        <v>122308</v>
      </c>
      <c r="D287" s="3">
        <f t="shared" si="30"/>
        <v>-122308</v>
      </c>
      <c r="E287" s="1">
        <v>0</v>
      </c>
      <c r="F287" s="1">
        <v>9417596.6025763452</v>
      </c>
      <c r="G287" s="1"/>
      <c r="H287">
        <f t="shared" si="25"/>
        <v>1</v>
      </c>
      <c r="I287" t="str">
        <f t="shared" si="26"/>
        <v/>
      </c>
      <c r="J287" t="str">
        <f t="shared" si="27"/>
        <v/>
      </c>
      <c r="K287" t="str">
        <f t="shared" si="28"/>
        <v/>
      </c>
      <c r="L287" t="str">
        <f t="shared" si="28"/>
        <v/>
      </c>
      <c r="M287" t="b">
        <f t="shared" si="29"/>
        <v>0</v>
      </c>
    </row>
    <row r="288" spans="1:13" ht="15.75" x14ac:dyDescent="0.3">
      <c r="A288" s="2">
        <v>45664</v>
      </c>
      <c r="B288" s="1">
        <v>0</v>
      </c>
      <c r="C288" s="1">
        <v>126275</v>
      </c>
      <c r="D288" s="3">
        <f t="shared" si="30"/>
        <v>-126275</v>
      </c>
      <c r="E288" s="1">
        <v>0</v>
      </c>
      <c r="F288" s="1">
        <v>9782076.7541941125</v>
      </c>
      <c r="G288" s="1"/>
      <c r="H288">
        <f t="shared" si="25"/>
        <v>1</v>
      </c>
      <c r="I288" t="str">
        <f t="shared" si="26"/>
        <v/>
      </c>
      <c r="J288" t="str">
        <f t="shared" si="27"/>
        <v/>
      </c>
      <c r="K288" t="str">
        <f t="shared" si="28"/>
        <v/>
      </c>
      <c r="L288" t="str">
        <f t="shared" si="28"/>
        <v/>
      </c>
      <c r="M288" t="b">
        <f t="shared" si="29"/>
        <v>0</v>
      </c>
    </row>
    <row r="289" spans="1:13" ht="15.75" x14ac:dyDescent="0.3">
      <c r="A289" s="2">
        <v>45665</v>
      </c>
      <c r="B289" s="1">
        <v>0</v>
      </c>
      <c r="C289" s="1">
        <v>119878</v>
      </c>
      <c r="D289" s="3">
        <f t="shared" si="30"/>
        <v>-119878</v>
      </c>
      <c r="E289" s="1">
        <v>0</v>
      </c>
      <c r="F289" s="1">
        <v>9682240.2507068757</v>
      </c>
      <c r="G289" s="1"/>
      <c r="H289">
        <f t="shared" si="25"/>
        <v>1</v>
      </c>
      <c r="I289" t="str">
        <f t="shared" si="26"/>
        <v/>
      </c>
      <c r="J289" t="str">
        <f t="shared" si="27"/>
        <v/>
      </c>
      <c r="K289" t="str">
        <f t="shared" si="28"/>
        <v/>
      </c>
      <c r="L289" t="str">
        <f t="shared" si="28"/>
        <v/>
      </c>
      <c r="M289" t="b">
        <f t="shared" si="29"/>
        <v>0</v>
      </c>
    </row>
    <row r="290" spans="1:13" ht="15.75" x14ac:dyDescent="0.3">
      <c r="A290" s="2">
        <v>45666</v>
      </c>
      <c r="B290" s="1">
        <v>0</v>
      </c>
      <c r="C290" s="1">
        <v>112659</v>
      </c>
      <c r="D290" s="3">
        <f t="shared" si="30"/>
        <v>-112659</v>
      </c>
      <c r="E290" s="1">
        <v>0</v>
      </c>
      <c r="F290" s="1">
        <v>10273165.005139111</v>
      </c>
      <c r="G290" s="1"/>
      <c r="H290">
        <f t="shared" si="25"/>
        <v>1</v>
      </c>
      <c r="I290" t="str">
        <f t="shared" si="26"/>
        <v/>
      </c>
      <c r="J290" t="str">
        <f t="shared" si="27"/>
        <v/>
      </c>
      <c r="K290" t="str">
        <f t="shared" si="28"/>
        <v/>
      </c>
      <c r="L290" t="str">
        <f t="shared" si="28"/>
        <v/>
      </c>
      <c r="M290" t="b">
        <f t="shared" si="29"/>
        <v>0</v>
      </c>
    </row>
    <row r="291" spans="1:13" ht="15.75" x14ac:dyDescent="0.3">
      <c r="A291" s="2">
        <v>45667</v>
      </c>
      <c r="B291" s="1">
        <v>0</v>
      </c>
      <c r="C291" s="1">
        <v>291932</v>
      </c>
      <c r="D291" s="3">
        <f t="shared" si="30"/>
        <v>-291932</v>
      </c>
      <c r="E291" s="1">
        <v>0</v>
      </c>
      <c r="F291" s="1">
        <v>10966847.19966184</v>
      </c>
      <c r="G291" s="1"/>
      <c r="H291">
        <f t="shared" si="25"/>
        <v>1</v>
      </c>
      <c r="I291" t="str">
        <f t="shared" si="26"/>
        <v/>
      </c>
      <c r="J291" t="str">
        <f t="shared" si="27"/>
        <v/>
      </c>
      <c r="K291" t="str">
        <f t="shared" si="28"/>
        <v/>
      </c>
      <c r="L291" t="str">
        <f t="shared" si="28"/>
        <v/>
      </c>
      <c r="M291" t="b">
        <f t="shared" si="29"/>
        <v>0</v>
      </c>
    </row>
    <row r="292" spans="1:13" ht="15.75" x14ac:dyDescent="0.3">
      <c r="A292" s="2">
        <v>45670</v>
      </c>
      <c r="B292" s="1">
        <v>0</v>
      </c>
      <c r="C292" s="1">
        <v>452321</v>
      </c>
      <c r="D292" s="3">
        <f t="shared" si="30"/>
        <v>-452321</v>
      </c>
      <c r="E292" s="1">
        <v>0</v>
      </c>
      <c r="F292" s="1">
        <v>11679070.44084283</v>
      </c>
      <c r="G292" s="1"/>
      <c r="H292">
        <f t="shared" si="25"/>
        <v>1</v>
      </c>
      <c r="I292" t="str">
        <f t="shared" si="26"/>
        <v/>
      </c>
      <c r="J292" t="str">
        <f t="shared" si="27"/>
        <v/>
      </c>
      <c r="K292" t="str">
        <f t="shared" si="28"/>
        <v/>
      </c>
      <c r="L292" t="str">
        <f t="shared" si="28"/>
        <v/>
      </c>
      <c r="M292" t="b">
        <f t="shared" si="29"/>
        <v>0</v>
      </c>
    </row>
    <row r="293" spans="1:13" ht="15.75" x14ac:dyDescent="0.3">
      <c r="A293" s="2">
        <v>45671</v>
      </c>
      <c r="B293" s="1">
        <v>0</v>
      </c>
      <c r="C293" s="1">
        <v>354495</v>
      </c>
      <c r="D293" s="3">
        <f t="shared" si="30"/>
        <v>-354495</v>
      </c>
      <c r="E293" s="1">
        <v>0</v>
      </c>
      <c r="F293" s="1">
        <v>12471942.38835514</v>
      </c>
      <c r="G293" s="1"/>
      <c r="H293">
        <f t="shared" si="25"/>
        <v>1</v>
      </c>
      <c r="I293" t="str">
        <f t="shared" si="26"/>
        <v/>
      </c>
      <c r="J293" t="str">
        <f t="shared" si="27"/>
        <v/>
      </c>
      <c r="K293" t="str">
        <f t="shared" si="28"/>
        <v/>
      </c>
      <c r="L293" t="str">
        <f t="shared" si="28"/>
        <v/>
      </c>
      <c r="M293" t="b">
        <f t="shared" si="29"/>
        <v>0</v>
      </c>
    </row>
    <row r="294" spans="1:13" ht="15.75" x14ac:dyDescent="0.3">
      <c r="A294" s="2">
        <v>45672</v>
      </c>
      <c r="B294" s="1">
        <v>0</v>
      </c>
      <c r="C294" s="1">
        <v>224798</v>
      </c>
      <c r="D294" s="3">
        <f t="shared" si="30"/>
        <v>-224798</v>
      </c>
      <c r="E294" s="1">
        <v>0</v>
      </c>
      <c r="F294" s="1">
        <v>11548305.547503339</v>
      </c>
      <c r="G294" s="1"/>
      <c r="H294">
        <f t="shared" si="25"/>
        <v>1</v>
      </c>
      <c r="I294" t="str">
        <f t="shared" si="26"/>
        <v/>
      </c>
      <c r="J294" t="str">
        <f t="shared" si="27"/>
        <v/>
      </c>
      <c r="K294" t="str">
        <f t="shared" si="28"/>
        <v/>
      </c>
      <c r="L294" t="str">
        <f t="shared" si="28"/>
        <v/>
      </c>
      <c r="M294" t="b">
        <f t="shared" si="29"/>
        <v>0</v>
      </c>
    </row>
    <row r="295" spans="1:13" ht="15.75" x14ac:dyDescent="0.3">
      <c r="A295" s="2">
        <v>45673</v>
      </c>
      <c r="B295" s="1">
        <v>0</v>
      </c>
      <c r="C295" s="1">
        <v>242823</v>
      </c>
      <c r="D295" s="3">
        <f t="shared" si="30"/>
        <v>-242823</v>
      </c>
      <c r="E295" s="1">
        <v>0</v>
      </c>
      <c r="F295" s="1">
        <v>11541484.6420746</v>
      </c>
      <c r="G295" s="1"/>
      <c r="H295">
        <f t="shared" si="25"/>
        <v>1</v>
      </c>
      <c r="I295" t="str">
        <f t="shared" si="26"/>
        <v/>
      </c>
      <c r="J295" t="str">
        <f t="shared" si="27"/>
        <v/>
      </c>
      <c r="K295" t="str">
        <f t="shared" si="28"/>
        <v/>
      </c>
      <c r="L295" t="str">
        <f t="shared" si="28"/>
        <v/>
      </c>
      <c r="M295" t="b">
        <f t="shared" si="29"/>
        <v>0</v>
      </c>
    </row>
    <row r="296" spans="1:13" ht="15.75" x14ac:dyDescent="0.3">
      <c r="A296" s="2">
        <v>45674</v>
      </c>
      <c r="B296" s="1">
        <v>0</v>
      </c>
      <c r="C296" s="1">
        <v>1227521</v>
      </c>
      <c r="D296" s="3">
        <f t="shared" si="30"/>
        <v>-1227521</v>
      </c>
      <c r="E296" s="1">
        <v>0</v>
      </c>
      <c r="F296" s="1">
        <v>10870172.514692061</v>
      </c>
      <c r="G296" s="1"/>
      <c r="H296">
        <f t="shared" si="25"/>
        <v>1</v>
      </c>
      <c r="I296" t="str">
        <f t="shared" si="26"/>
        <v/>
      </c>
      <c r="J296" t="str">
        <f t="shared" si="27"/>
        <v/>
      </c>
      <c r="K296" t="str">
        <f t="shared" si="28"/>
        <v/>
      </c>
      <c r="L296" t="str">
        <f t="shared" si="28"/>
        <v/>
      </c>
      <c r="M296" t="b">
        <f t="shared" si="29"/>
        <v>0</v>
      </c>
    </row>
    <row r="297" spans="1:13" ht="15.75" x14ac:dyDescent="0.3">
      <c r="A297" s="2">
        <v>45677</v>
      </c>
      <c r="B297" s="1">
        <v>0</v>
      </c>
      <c r="C297" s="1">
        <v>840014</v>
      </c>
      <c r="D297" s="3">
        <f t="shared" si="30"/>
        <v>-840014</v>
      </c>
      <c r="E297" s="1">
        <v>0</v>
      </c>
      <c r="F297" s="1">
        <v>10713534.54530772</v>
      </c>
      <c r="G297" s="1"/>
      <c r="H297">
        <f t="shared" si="25"/>
        <v>1</v>
      </c>
      <c r="I297" t="str">
        <f t="shared" si="26"/>
        <v/>
      </c>
      <c r="J297" t="str">
        <f t="shared" si="27"/>
        <v/>
      </c>
      <c r="K297" t="str">
        <f t="shared" si="28"/>
        <v/>
      </c>
      <c r="L297" t="str">
        <f t="shared" si="28"/>
        <v/>
      </c>
      <c r="M297" t="b">
        <f t="shared" si="29"/>
        <v>0</v>
      </c>
    </row>
    <row r="298" spans="1:13" ht="15.75" x14ac:dyDescent="0.3">
      <c r="A298" s="2">
        <v>45678</v>
      </c>
      <c r="B298" s="1">
        <v>0</v>
      </c>
      <c r="C298" s="1">
        <v>831527</v>
      </c>
      <c r="D298" s="3">
        <f t="shared" si="30"/>
        <v>-831527</v>
      </c>
      <c r="E298" s="1">
        <v>0</v>
      </c>
      <c r="F298" s="1">
        <v>10726667.762679189</v>
      </c>
      <c r="G298" s="1"/>
      <c r="H298">
        <f t="shared" si="25"/>
        <v>1</v>
      </c>
      <c r="I298" t="str">
        <f t="shared" si="26"/>
        <v/>
      </c>
      <c r="J298" t="str">
        <f t="shared" si="27"/>
        <v/>
      </c>
      <c r="K298" t="str">
        <f t="shared" si="28"/>
        <v/>
      </c>
      <c r="L298" t="str">
        <f t="shared" si="28"/>
        <v/>
      </c>
      <c r="M298" t="b">
        <f t="shared" si="29"/>
        <v>0</v>
      </c>
    </row>
    <row r="299" spans="1:13" ht="15.75" x14ac:dyDescent="0.3">
      <c r="A299" s="2">
        <v>45679</v>
      </c>
      <c r="B299" s="1">
        <v>0</v>
      </c>
      <c r="C299" s="1">
        <v>1044511</v>
      </c>
      <c r="D299" s="3">
        <f t="shared" si="30"/>
        <v>-1044511</v>
      </c>
      <c r="E299" s="1">
        <v>0</v>
      </c>
      <c r="F299" s="1">
        <v>10718461.69223143</v>
      </c>
      <c r="G299" s="1"/>
      <c r="H299">
        <f t="shared" si="25"/>
        <v>1</v>
      </c>
      <c r="I299" t="str">
        <f t="shared" si="26"/>
        <v/>
      </c>
      <c r="J299" t="str">
        <f t="shared" si="27"/>
        <v/>
      </c>
      <c r="K299" t="str">
        <f t="shared" si="28"/>
        <v/>
      </c>
      <c r="L299" t="str">
        <f t="shared" si="28"/>
        <v/>
      </c>
      <c r="M299" t="b">
        <f t="shared" si="29"/>
        <v>0</v>
      </c>
    </row>
    <row r="300" spans="1:13" ht="15.75" x14ac:dyDescent="0.3">
      <c r="A300" s="2">
        <v>45680</v>
      </c>
      <c r="B300" s="1">
        <v>0</v>
      </c>
      <c r="C300" s="1">
        <v>1199498</v>
      </c>
      <c r="D300" s="3">
        <f t="shared" si="30"/>
        <v>-1199498</v>
      </c>
      <c r="E300" s="1">
        <v>0</v>
      </c>
      <c r="F300" s="1">
        <v>10869715.933380339</v>
      </c>
      <c r="G300" s="1"/>
      <c r="H300">
        <f t="shared" si="25"/>
        <v>1</v>
      </c>
      <c r="I300" t="str">
        <f t="shared" si="26"/>
        <v/>
      </c>
      <c r="J300" t="str">
        <f t="shared" si="27"/>
        <v/>
      </c>
      <c r="K300" t="str">
        <f t="shared" si="28"/>
        <v/>
      </c>
      <c r="L300" t="str">
        <f t="shared" si="28"/>
        <v/>
      </c>
      <c r="M300" t="b">
        <f t="shared" si="29"/>
        <v>0</v>
      </c>
    </row>
    <row r="301" spans="1:13" ht="15.75" x14ac:dyDescent="0.3">
      <c r="A301" s="2">
        <v>45681</v>
      </c>
      <c r="B301" s="1">
        <v>0</v>
      </c>
      <c r="C301" s="1">
        <v>1060161</v>
      </c>
      <c r="D301" s="3">
        <f t="shared" si="30"/>
        <v>-1060161</v>
      </c>
      <c r="E301" s="1">
        <v>0</v>
      </c>
      <c r="F301" s="1">
        <v>10781073.71925501</v>
      </c>
      <c r="G301" s="1"/>
      <c r="H301">
        <f t="shared" si="25"/>
        <v>1</v>
      </c>
      <c r="I301" t="str">
        <f t="shared" si="26"/>
        <v/>
      </c>
      <c r="J301" t="str">
        <f t="shared" si="27"/>
        <v/>
      </c>
      <c r="K301" t="str">
        <f t="shared" si="28"/>
        <v/>
      </c>
      <c r="L301" t="str">
        <f t="shared" si="28"/>
        <v/>
      </c>
      <c r="M301" t="b">
        <f t="shared" si="29"/>
        <v>0</v>
      </c>
    </row>
    <row r="302" spans="1:13" ht="15.75" x14ac:dyDescent="0.3">
      <c r="A302" s="2">
        <v>45684</v>
      </c>
      <c r="B302" s="1">
        <v>0</v>
      </c>
      <c r="C302" s="1">
        <v>1438259</v>
      </c>
      <c r="D302" s="3">
        <f t="shared" si="30"/>
        <v>-1438259</v>
      </c>
      <c r="E302" s="1">
        <v>0</v>
      </c>
      <c r="F302" s="1">
        <v>10723367.606338389</v>
      </c>
      <c r="G302" s="1"/>
      <c r="H302">
        <f t="shared" si="25"/>
        <v>1</v>
      </c>
      <c r="I302" t="str">
        <f t="shared" si="26"/>
        <v/>
      </c>
      <c r="J302" t="str">
        <f t="shared" si="27"/>
        <v/>
      </c>
      <c r="K302" t="str">
        <f t="shared" si="28"/>
        <v/>
      </c>
      <c r="L302" t="str">
        <f t="shared" si="28"/>
        <v/>
      </c>
      <c r="M302" t="b">
        <f t="shared" si="29"/>
        <v>0</v>
      </c>
    </row>
    <row r="303" spans="1:13" ht="15.75" x14ac:dyDescent="0.3">
      <c r="A303" s="2">
        <v>45685</v>
      </c>
      <c r="B303" s="1">
        <v>0</v>
      </c>
      <c r="C303" s="1">
        <v>801909</v>
      </c>
      <c r="D303" s="3">
        <f t="shared" si="30"/>
        <v>-801909</v>
      </c>
      <c r="E303" s="1">
        <v>0</v>
      </c>
      <c r="F303" s="1">
        <v>10976646.942056959</v>
      </c>
      <c r="G303" s="1"/>
      <c r="H303">
        <f t="shared" si="25"/>
        <v>1</v>
      </c>
      <c r="I303" t="str">
        <f t="shared" si="26"/>
        <v/>
      </c>
      <c r="J303" t="str">
        <f t="shared" si="27"/>
        <v/>
      </c>
      <c r="K303" t="str">
        <f t="shared" si="28"/>
        <v/>
      </c>
      <c r="L303" t="str">
        <f t="shared" si="28"/>
        <v/>
      </c>
      <c r="M303" t="b">
        <f t="shared" si="29"/>
        <v>0</v>
      </c>
    </row>
    <row r="304" spans="1:13" ht="15.75" x14ac:dyDescent="0.3">
      <c r="A304" s="2">
        <v>45686</v>
      </c>
      <c r="B304" s="1">
        <v>0</v>
      </c>
      <c r="C304" s="1">
        <v>563026</v>
      </c>
      <c r="D304" s="3">
        <f t="shared" si="30"/>
        <v>-563026</v>
      </c>
      <c r="E304" s="1">
        <v>0</v>
      </c>
      <c r="F304" s="1">
        <v>11267613.306427451</v>
      </c>
      <c r="G304" s="1"/>
      <c r="H304">
        <f t="shared" si="25"/>
        <v>1</v>
      </c>
      <c r="I304" t="str">
        <f t="shared" si="26"/>
        <v/>
      </c>
      <c r="J304" t="str">
        <f t="shared" si="27"/>
        <v/>
      </c>
      <c r="K304" t="str">
        <f t="shared" si="28"/>
        <v/>
      </c>
      <c r="L304" t="str">
        <f t="shared" si="28"/>
        <v/>
      </c>
      <c r="M304" t="b">
        <f t="shared" si="29"/>
        <v>0</v>
      </c>
    </row>
    <row r="305" spans="1:13" ht="15.75" x14ac:dyDescent="0.3">
      <c r="A305" s="2">
        <v>45687</v>
      </c>
      <c r="B305" s="1">
        <v>0</v>
      </c>
      <c r="C305" s="1">
        <v>496969</v>
      </c>
      <c r="D305" s="3">
        <f t="shared" si="30"/>
        <v>-496969</v>
      </c>
      <c r="E305" s="1">
        <v>0</v>
      </c>
      <c r="F305" s="1">
        <v>11379366.60090347</v>
      </c>
      <c r="G305" s="1"/>
      <c r="H305">
        <f t="shared" si="25"/>
        <v>1</v>
      </c>
      <c r="I305" t="str">
        <f t="shared" si="26"/>
        <v/>
      </c>
      <c r="J305" t="str">
        <f t="shared" si="27"/>
        <v/>
      </c>
      <c r="K305" t="str">
        <f t="shared" si="28"/>
        <v/>
      </c>
      <c r="L305" t="str">
        <f t="shared" si="28"/>
        <v/>
      </c>
      <c r="M305" t="b">
        <f t="shared" si="29"/>
        <v>0</v>
      </c>
    </row>
    <row r="306" spans="1:13" ht="15.75" x14ac:dyDescent="0.3">
      <c r="A306" s="2">
        <v>45688</v>
      </c>
      <c r="B306" s="1">
        <v>0</v>
      </c>
      <c r="C306" s="1">
        <v>310536</v>
      </c>
      <c r="D306" s="3">
        <f t="shared" si="30"/>
        <v>-310536</v>
      </c>
      <c r="E306" s="1">
        <v>0</v>
      </c>
      <c r="F306" s="1">
        <v>12220820.336503631</v>
      </c>
      <c r="G306" s="1"/>
      <c r="H306">
        <f t="shared" si="25"/>
        <v>1</v>
      </c>
      <c r="I306">
        <f t="shared" si="26"/>
        <v>-310536</v>
      </c>
      <c r="J306">
        <f t="shared" si="27"/>
        <v>0</v>
      </c>
      <c r="K306">
        <f t="shared" si="28"/>
        <v>12220820.336503631</v>
      </c>
      <c r="L306">
        <f t="shared" si="28"/>
        <v>0</v>
      </c>
      <c r="M306" t="b">
        <f t="shared" si="29"/>
        <v>1</v>
      </c>
    </row>
    <row r="307" spans="1:13" ht="15.75" x14ac:dyDescent="0.3">
      <c r="A307" s="2">
        <v>45691</v>
      </c>
      <c r="B307" s="1">
        <v>0</v>
      </c>
      <c r="C307" s="1">
        <v>25801</v>
      </c>
      <c r="D307" s="3">
        <f t="shared" si="30"/>
        <v>-25801</v>
      </c>
      <c r="E307" s="1">
        <v>0</v>
      </c>
      <c r="F307" s="1">
        <v>11175315.6400903</v>
      </c>
      <c r="G307" s="1"/>
      <c r="H307">
        <f t="shared" si="25"/>
        <v>2</v>
      </c>
      <c r="I307" t="str">
        <f t="shared" si="26"/>
        <v/>
      </c>
      <c r="J307" t="str">
        <f t="shared" si="27"/>
        <v/>
      </c>
      <c r="K307" t="str">
        <f t="shared" si="28"/>
        <v/>
      </c>
      <c r="L307" t="str">
        <f t="shared" si="28"/>
        <v/>
      </c>
      <c r="M307" t="b">
        <f t="shared" si="29"/>
        <v>0</v>
      </c>
    </row>
    <row r="308" spans="1:13" ht="15.75" x14ac:dyDescent="0.3">
      <c r="A308" s="2">
        <v>45692</v>
      </c>
      <c r="B308" s="1">
        <v>0</v>
      </c>
      <c r="C308" s="1">
        <v>37695</v>
      </c>
      <c r="D308" s="3">
        <f t="shared" si="30"/>
        <v>-37695</v>
      </c>
      <c r="E308" s="1">
        <v>0</v>
      </c>
      <c r="F308" s="1">
        <v>10571256.757238509</v>
      </c>
      <c r="G308" s="1"/>
      <c r="H308">
        <f t="shared" si="25"/>
        <v>2</v>
      </c>
      <c r="I308" t="str">
        <f t="shared" si="26"/>
        <v/>
      </c>
      <c r="J308" t="str">
        <f t="shared" si="27"/>
        <v/>
      </c>
      <c r="K308" t="str">
        <f t="shared" si="28"/>
        <v/>
      </c>
      <c r="L308" t="str">
        <f t="shared" si="28"/>
        <v/>
      </c>
      <c r="M308" t="b">
        <f t="shared" si="29"/>
        <v>0</v>
      </c>
    </row>
    <row r="309" spans="1:13" ht="15.75" x14ac:dyDescent="0.3">
      <c r="A309" s="2">
        <v>45693</v>
      </c>
      <c r="B309" s="1">
        <v>0</v>
      </c>
      <c r="C309" s="1">
        <v>55459</v>
      </c>
      <c r="D309" s="3">
        <f t="shared" si="30"/>
        <v>-55459</v>
      </c>
      <c r="E309" s="1">
        <v>0</v>
      </c>
      <c r="F309" s="1">
        <v>11498314.51823031</v>
      </c>
      <c r="G309" s="1"/>
      <c r="H309">
        <f t="shared" si="25"/>
        <v>2</v>
      </c>
      <c r="I309" t="str">
        <f t="shared" si="26"/>
        <v/>
      </c>
      <c r="J309" t="str">
        <f t="shared" si="27"/>
        <v/>
      </c>
      <c r="K309" t="str">
        <f t="shared" si="28"/>
        <v/>
      </c>
      <c r="L309" t="str">
        <f t="shared" si="28"/>
        <v/>
      </c>
      <c r="M309" t="b">
        <f t="shared" si="29"/>
        <v>0</v>
      </c>
    </row>
    <row r="310" spans="1:13" ht="15.75" x14ac:dyDescent="0.3">
      <c r="A310" s="2">
        <v>45694</v>
      </c>
      <c r="B310" s="1">
        <v>0</v>
      </c>
      <c r="C310" s="1">
        <v>62996</v>
      </c>
      <c r="D310" s="3">
        <f t="shared" si="30"/>
        <v>-62996</v>
      </c>
      <c r="E310" s="1">
        <v>0</v>
      </c>
      <c r="F310" s="1">
        <v>11441745.112486631</v>
      </c>
      <c r="G310" s="1"/>
      <c r="H310">
        <f t="shared" si="25"/>
        <v>2</v>
      </c>
      <c r="I310" t="str">
        <f t="shared" si="26"/>
        <v/>
      </c>
      <c r="J310" t="str">
        <f t="shared" si="27"/>
        <v/>
      </c>
      <c r="K310" t="str">
        <f t="shared" si="28"/>
        <v/>
      </c>
      <c r="L310" t="str">
        <f t="shared" si="28"/>
        <v/>
      </c>
      <c r="M310" t="b">
        <f t="shared" si="29"/>
        <v>0</v>
      </c>
    </row>
    <row r="311" spans="1:13" ht="15.75" x14ac:dyDescent="0.3">
      <c r="A311" s="2">
        <v>45695</v>
      </c>
      <c r="B311" s="1">
        <v>0</v>
      </c>
      <c r="C311" s="1">
        <v>83924</v>
      </c>
      <c r="D311" s="3">
        <f t="shared" si="30"/>
        <v>-83924</v>
      </c>
      <c r="E311" s="1">
        <v>0</v>
      </c>
      <c r="F311" s="1">
        <v>11520451.645598579</v>
      </c>
      <c r="G311" s="1"/>
      <c r="H311">
        <f t="shared" si="25"/>
        <v>2</v>
      </c>
      <c r="I311" t="str">
        <f t="shared" si="26"/>
        <v/>
      </c>
      <c r="J311" t="str">
        <f t="shared" si="27"/>
        <v/>
      </c>
      <c r="K311" t="str">
        <f t="shared" si="28"/>
        <v/>
      </c>
      <c r="L311" t="str">
        <f t="shared" si="28"/>
        <v/>
      </c>
      <c r="M311" t="b">
        <f t="shared" si="29"/>
        <v>0</v>
      </c>
    </row>
    <row r="312" spans="1:13" ht="15.75" x14ac:dyDescent="0.3">
      <c r="A312" s="2">
        <v>45698</v>
      </c>
      <c r="B312" s="1">
        <v>0</v>
      </c>
      <c r="C312" s="1">
        <v>79098</v>
      </c>
      <c r="D312" s="3">
        <f t="shared" si="30"/>
        <v>-79098</v>
      </c>
      <c r="E312" s="1">
        <v>0</v>
      </c>
      <c r="F312" s="1">
        <v>12007170.284591241</v>
      </c>
      <c r="G312" s="1"/>
      <c r="H312">
        <f t="shared" si="25"/>
        <v>2</v>
      </c>
      <c r="I312" t="str">
        <f t="shared" si="26"/>
        <v/>
      </c>
      <c r="J312" t="str">
        <f t="shared" si="27"/>
        <v/>
      </c>
      <c r="K312" t="str">
        <f t="shared" si="28"/>
        <v/>
      </c>
      <c r="L312" t="str">
        <f t="shared" si="28"/>
        <v/>
      </c>
      <c r="M312" t="b">
        <f t="shared" si="29"/>
        <v>0</v>
      </c>
    </row>
    <row r="313" spans="1:13" ht="15.75" x14ac:dyDescent="0.3">
      <c r="A313" s="2">
        <v>45699</v>
      </c>
      <c r="B313" s="1">
        <v>0</v>
      </c>
      <c r="C313" s="1">
        <v>76760</v>
      </c>
      <c r="D313" s="3">
        <f t="shared" si="30"/>
        <v>-76760</v>
      </c>
      <c r="E313" s="1">
        <v>0</v>
      </c>
      <c r="F313" s="1">
        <v>12446210.13086665</v>
      </c>
      <c r="G313" s="1"/>
      <c r="H313">
        <f t="shared" si="25"/>
        <v>2</v>
      </c>
      <c r="I313" t="str">
        <f t="shared" si="26"/>
        <v/>
      </c>
      <c r="J313" t="str">
        <f t="shared" si="27"/>
        <v/>
      </c>
      <c r="K313" t="str">
        <f t="shared" si="28"/>
        <v/>
      </c>
      <c r="L313" t="str">
        <f t="shared" si="28"/>
        <v/>
      </c>
      <c r="M313" t="b">
        <f t="shared" si="29"/>
        <v>0</v>
      </c>
    </row>
    <row r="314" spans="1:13" ht="15.75" x14ac:dyDescent="0.3">
      <c r="A314" s="2">
        <v>45700</v>
      </c>
      <c r="B314" s="1">
        <v>0</v>
      </c>
      <c r="C314" s="1">
        <v>212076</v>
      </c>
      <c r="D314" s="3">
        <f t="shared" si="30"/>
        <v>-212076</v>
      </c>
      <c r="E314" s="1">
        <v>0</v>
      </c>
      <c r="F314" s="1">
        <v>12974397.30278058</v>
      </c>
      <c r="G314" s="1"/>
      <c r="H314">
        <f t="shared" si="25"/>
        <v>2</v>
      </c>
      <c r="I314" t="str">
        <f t="shared" si="26"/>
        <v/>
      </c>
      <c r="J314" t="str">
        <f t="shared" si="27"/>
        <v/>
      </c>
      <c r="K314" t="str">
        <f t="shared" si="28"/>
        <v/>
      </c>
      <c r="L314" t="str">
        <f t="shared" si="28"/>
        <v/>
      </c>
      <c r="M314" t="b">
        <f t="shared" si="29"/>
        <v>0</v>
      </c>
    </row>
    <row r="315" spans="1:13" ht="15.75" x14ac:dyDescent="0.3">
      <c r="A315" s="2">
        <v>45701</v>
      </c>
      <c r="B315" s="1">
        <v>0</v>
      </c>
      <c r="C315" s="1">
        <v>195942</v>
      </c>
      <c r="D315" s="3">
        <f t="shared" si="30"/>
        <v>-195942</v>
      </c>
      <c r="E315" s="1">
        <v>0</v>
      </c>
      <c r="F315" s="1">
        <v>10674365.50600828</v>
      </c>
      <c r="G315" s="1"/>
      <c r="H315">
        <f t="shared" si="25"/>
        <v>2</v>
      </c>
      <c r="I315" t="str">
        <f t="shared" si="26"/>
        <v/>
      </c>
      <c r="J315" t="str">
        <f t="shared" si="27"/>
        <v/>
      </c>
      <c r="K315" t="str">
        <f t="shared" si="28"/>
        <v/>
      </c>
      <c r="L315" t="str">
        <f t="shared" si="28"/>
        <v/>
      </c>
      <c r="M315" t="b">
        <f t="shared" si="29"/>
        <v>0</v>
      </c>
    </row>
    <row r="316" spans="1:13" ht="15.75" x14ac:dyDescent="0.3">
      <c r="A316" s="2">
        <v>45702</v>
      </c>
      <c r="B316" s="1">
        <v>0</v>
      </c>
      <c r="C316" s="1">
        <v>45313</v>
      </c>
      <c r="D316" s="3">
        <f t="shared" si="30"/>
        <v>-45313</v>
      </c>
      <c r="E316" s="1">
        <v>0</v>
      </c>
      <c r="F316" s="1">
        <v>12104851.778106211</v>
      </c>
      <c r="G316" s="1"/>
      <c r="H316">
        <f t="shared" si="25"/>
        <v>2</v>
      </c>
      <c r="I316" t="str">
        <f t="shared" si="26"/>
        <v/>
      </c>
      <c r="J316" t="str">
        <f t="shared" si="27"/>
        <v/>
      </c>
      <c r="K316" t="str">
        <f t="shared" si="28"/>
        <v/>
      </c>
      <c r="L316" t="str">
        <f t="shared" si="28"/>
        <v/>
      </c>
      <c r="M316" t="b">
        <f t="shared" si="29"/>
        <v>0</v>
      </c>
    </row>
    <row r="317" spans="1:13" ht="15.75" x14ac:dyDescent="0.3">
      <c r="A317" s="2">
        <v>45705</v>
      </c>
      <c r="B317" s="1">
        <v>0</v>
      </c>
      <c r="C317" s="1">
        <v>52152</v>
      </c>
      <c r="D317" s="3">
        <f t="shared" si="30"/>
        <v>-52152</v>
      </c>
      <c r="E317" s="1">
        <v>0</v>
      </c>
      <c r="F317" s="1">
        <v>13285696.08220843</v>
      </c>
      <c r="G317" s="1"/>
      <c r="H317">
        <f t="shared" si="25"/>
        <v>2</v>
      </c>
      <c r="I317" t="str">
        <f t="shared" si="26"/>
        <v/>
      </c>
      <c r="J317" t="str">
        <f t="shared" si="27"/>
        <v/>
      </c>
      <c r="K317" t="str">
        <f t="shared" si="28"/>
        <v/>
      </c>
      <c r="L317" t="str">
        <f t="shared" si="28"/>
        <v/>
      </c>
      <c r="M317" t="b">
        <f t="shared" si="29"/>
        <v>0</v>
      </c>
    </row>
    <row r="318" spans="1:13" ht="15.75" x14ac:dyDescent="0.3">
      <c r="A318" s="2">
        <v>45706</v>
      </c>
      <c r="B318" s="1">
        <v>0</v>
      </c>
      <c r="C318" s="1">
        <v>58671</v>
      </c>
      <c r="D318" s="3">
        <f t="shared" si="30"/>
        <v>-58671</v>
      </c>
      <c r="E318" s="1">
        <v>0</v>
      </c>
      <c r="F318" s="1">
        <v>13300754.188760569</v>
      </c>
      <c r="G318" s="1"/>
      <c r="H318">
        <f t="shared" si="25"/>
        <v>2</v>
      </c>
      <c r="I318" t="str">
        <f t="shared" si="26"/>
        <v/>
      </c>
      <c r="J318" t="str">
        <f t="shared" si="27"/>
        <v/>
      </c>
      <c r="K318" t="str">
        <f t="shared" si="28"/>
        <v/>
      </c>
      <c r="L318" t="str">
        <f t="shared" si="28"/>
        <v/>
      </c>
      <c r="M318" t="b">
        <f t="shared" si="29"/>
        <v>0</v>
      </c>
    </row>
    <row r="319" spans="1:13" ht="15.75" x14ac:dyDescent="0.3">
      <c r="A319" s="2">
        <v>45707</v>
      </c>
      <c r="B319" s="1">
        <v>0</v>
      </c>
      <c r="C319" s="1">
        <v>66818</v>
      </c>
      <c r="D319" s="3">
        <f t="shared" si="30"/>
        <v>-66818</v>
      </c>
      <c r="E319" s="1">
        <v>0</v>
      </c>
      <c r="F319" s="1">
        <v>13772187.65257504</v>
      </c>
      <c r="G319" s="1"/>
      <c r="H319">
        <f t="shared" si="25"/>
        <v>2</v>
      </c>
      <c r="I319" t="str">
        <f t="shared" si="26"/>
        <v/>
      </c>
      <c r="J319" t="str">
        <f t="shared" si="27"/>
        <v/>
      </c>
      <c r="K319" t="str">
        <f t="shared" si="28"/>
        <v/>
      </c>
      <c r="L319" t="str">
        <f t="shared" si="28"/>
        <v/>
      </c>
      <c r="M319" t="b">
        <f t="shared" si="29"/>
        <v>0</v>
      </c>
    </row>
    <row r="320" spans="1:13" ht="15.75" x14ac:dyDescent="0.3">
      <c r="A320" s="2">
        <v>45708</v>
      </c>
      <c r="B320" s="1">
        <v>0</v>
      </c>
      <c r="C320" s="1">
        <v>74700</v>
      </c>
      <c r="D320" s="3">
        <f t="shared" si="30"/>
        <v>-74700</v>
      </c>
      <c r="E320" s="1">
        <v>0</v>
      </c>
      <c r="F320" s="1">
        <v>13787781.90276025</v>
      </c>
      <c r="G320" s="1"/>
      <c r="H320">
        <f t="shared" si="25"/>
        <v>2</v>
      </c>
      <c r="I320" t="str">
        <f t="shared" si="26"/>
        <v/>
      </c>
      <c r="J320" t="str">
        <f t="shared" si="27"/>
        <v/>
      </c>
      <c r="K320" t="str">
        <f t="shared" si="28"/>
        <v/>
      </c>
      <c r="L320" t="str">
        <f t="shared" si="28"/>
        <v/>
      </c>
      <c r="M320" t="b">
        <f t="shared" si="29"/>
        <v>0</v>
      </c>
    </row>
    <row r="321" spans="1:13" ht="15.75" x14ac:dyDescent="0.3">
      <c r="A321" s="2">
        <v>45709</v>
      </c>
      <c r="B321" s="1">
        <v>0</v>
      </c>
      <c r="C321" s="1">
        <v>70929</v>
      </c>
      <c r="D321" s="3">
        <f t="shared" si="30"/>
        <v>-70929</v>
      </c>
      <c r="E321" s="1">
        <v>0</v>
      </c>
      <c r="F321" s="1">
        <v>13439521.00659617</v>
      </c>
      <c r="G321" s="1"/>
      <c r="H321">
        <f t="shared" si="25"/>
        <v>2</v>
      </c>
      <c r="I321" t="str">
        <f t="shared" si="26"/>
        <v/>
      </c>
      <c r="J321" t="str">
        <f t="shared" si="27"/>
        <v/>
      </c>
      <c r="K321" t="str">
        <f t="shared" si="28"/>
        <v/>
      </c>
      <c r="L321" t="str">
        <f t="shared" si="28"/>
        <v/>
      </c>
      <c r="M321" t="b">
        <f t="shared" si="29"/>
        <v>0</v>
      </c>
    </row>
    <row r="322" spans="1:13" ht="15.75" x14ac:dyDescent="0.3">
      <c r="A322" s="2">
        <v>45712</v>
      </c>
      <c r="B322" s="1">
        <v>0</v>
      </c>
      <c r="C322" s="1">
        <v>130985</v>
      </c>
      <c r="D322" s="3">
        <f t="shared" si="30"/>
        <v>-130985</v>
      </c>
      <c r="E322" s="1">
        <v>0</v>
      </c>
      <c r="F322" s="1">
        <v>14658586.503162829</v>
      </c>
      <c r="G322" s="1"/>
      <c r="H322">
        <f t="shared" si="25"/>
        <v>2</v>
      </c>
      <c r="I322" t="str">
        <f t="shared" si="26"/>
        <v/>
      </c>
      <c r="J322" t="str">
        <f t="shared" si="27"/>
        <v/>
      </c>
      <c r="K322" t="str">
        <f t="shared" si="28"/>
        <v/>
      </c>
      <c r="L322" t="str">
        <f t="shared" si="28"/>
        <v/>
      </c>
      <c r="M322" t="b">
        <f t="shared" si="29"/>
        <v>0</v>
      </c>
    </row>
    <row r="323" spans="1:13" ht="15.75" x14ac:dyDescent="0.3">
      <c r="A323" s="2">
        <v>45713</v>
      </c>
      <c r="B323" s="1">
        <v>0</v>
      </c>
      <c r="C323" s="1">
        <v>65003</v>
      </c>
      <c r="D323" s="3">
        <f t="shared" si="30"/>
        <v>-65003</v>
      </c>
      <c r="E323" s="1">
        <v>0</v>
      </c>
      <c r="F323" s="1">
        <v>14778860.10917349</v>
      </c>
      <c r="G323" s="1"/>
      <c r="H323">
        <f t="shared" ref="H323:H386" si="31">+MONTH(A323)</f>
        <v>2</v>
      </c>
      <c r="I323" t="str">
        <f t="shared" ref="I323:I386" si="32">+IF($H323&lt;&gt;$H324,D323,"")</f>
        <v/>
      </c>
      <c r="J323" t="str">
        <f t="shared" ref="J323:J386" si="33">+IF($H323&lt;&gt;$H324,E323,"")</f>
        <v/>
      </c>
      <c r="K323" t="str">
        <f t="shared" ref="K323:L386" si="34">+IF($H323&lt;&gt;$H324,F323,"")</f>
        <v/>
      </c>
      <c r="L323" t="str">
        <f t="shared" si="34"/>
        <v/>
      </c>
      <c r="M323" t="b">
        <f t="shared" ref="M323:M386" si="35">+$H323&lt;&gt;$H324</f>
        <v>0</v>
      </c>
    </row>
    <row r="324" spans="1:13" ht="15.75" x14ac:dyDescent="0.3">
      <c r="A324" s="2">
        <v>45714</v>
      </c>
      <c r="B324" s="1">
        <v>0</v>
      </c>
      <c r="C324" s="1">
        <v>91384</v>
      </c>
      <c r="D324" s="3">
        <f t="shared" si="30"/>
        <v>-91384</v>
      </c>
      <c r="E324" s="1">
        <v>0</v>
      </c>
      <c r="F324" s="1">
        <v>15046519.07019905</v>
      </c>
      <c r="G324" s="1"/>
      <c r="H324">
        <f t="shared" si="31"/>
        <v>2</v>
      </c>
      <c r="I324" t="str">
        <f t="shared" si="32"/>
        <v/>
      </c>
      <c r="J324" t="str">
        <f t="shared" si="33"/>
        <v/>
      </c>
      <c r="K324" t="str">
        <f t="shared" si="34"/>
        <v/>
      </c>
      <c r="L324" t="str">
        <f t="shared" si="34"/>
        <v/>
      </c>
      <c r="M324" t="b">
        <f t="shared" si="35"/>
        <v>0</v>
      </c>
    </row>
    <row r="325" spans="1:13" ht="15.75" x14ac:dyDescent="0.3">
      <c r="A325" s="2">
        <v>45715</v>
      </c>
      <c r="B325" s="1">
        <v>0</v>
      </c>
      <c r="C325" s="1">
        <v>59855</v>
      </c>
      <c r="D325" s="3">
        <f t="shared" si="30"/>
        <v>-59855</v>
      </c>
      <c r="E325" s="1">
        <v>0</v>
      </c>
      <c r="F325" s="1">
        <v>14063866.61789641</v>
      </c>
      <c r="G325" s="1"/>
      <c r="H325">
        <f t="shared" si="31"/>
        <v>2</v>
      </c>
      <c r="I325" t="str">
        <f t="shared" si="32"/>
        <v/>
      </c>
      <c r="J325" t="str">
        <f t="shared" si="33"/>
        <v/>
      </c>
      <c r="K325" t="str">
        <f t="shared" si="34"/>
        <v/>
      </c>
      <c r="L325" t="str">
        <f t="shared" si="34"/>
        <v/>
      </c>
      <c r="M325" t="b">
        <f t="shared" si="35"/>
        <v>0</v>
      </c>
    </row>
    <row r="326" spans="1:13" ht="15.75" x14ac:dyDescent="0.3">
      <c r="A326" s="2">
        <v>45716</v>
      </c>
      <c r="B326" s="1">
        <v>0</v>
      </c>
      <c r="C326" s="1">
        <v>169962</v>
      </c>
      <c r="D326" s="3">
        <f t="shared" si="30"/>
        <v>-169962</v>
      </c>
      <c r="E326" s="1">
        <v>0</v>
      </c>
      <c r="F326" s="1">
        <v>11418640.464761071</v>
      </c>
      <c r="G326" s="1"/>
      <c r="H326">
        <f t="shared" si="31"/>
        <v>2</v>
      </c>
      <c r="I326">
        <f t="shared" si="32"/>
        <v>-169962</v>
      </c>
      <c r="J326">
        <f t="shared" si="33"/>
        <v>0</v>
      </c>
      <c r="K326">
        <f t="shared" si="34"/>
        <v>11418640.464761071</v>
      </c>
      <c r="L326">
        <f t="shared" si="34"/>
        <v>0</v>
      </c>
      <c r="M326" t="b">
        <f t="shared" si="35"/>
        <v>1</v>
      </c>
    </row>
    <row r="327" spans="1:13" ht="15.75" x14ac:dyDescent="0.3">
      <c r="A327" s="2">
        <v>45721</v>
      </c>
      <c r="B327" s="1">
        <v>0</v>
      </c>
      <c r="C327" s="1">
        <v>668585</v>
      </c>
      <c r="D327" s="3">
        <f t="shared" ref="D327:D390" si="36">+B327-C327</f>
        <v>-668585</v>
      </c>
      <c r="E327" s="1">
        <v>0</v>
      </c>
      <c r="F327" s="1">
        <v>11107966.17466672</v>
      </c>
      <c r="G327" s="1"/>
      <c r="H327">
        <f t="shared" si="31"/>
        <v>3</v>
      </c>
      <c r="I327" t="str">
        <f t="shared" si="32"/>
        <v/>
      </c>
      <c r="J327" t="str">
        <f t="shared" si="33"/>
        <v/>
      </c>
      <c r="K327" t="str">
        <f t="shared" si="34"/>
        <v/>
      </c>
      <c r="L327" t="str">
        <f t="shared" si="34"/>
        <v/>
      </c>
      <c r="M327" t="b">
        <f t="shared" si="35"/>
        <v>0</v>
      </c>
    </row>
    <row r="328" spans="1:13" ht="15.75" x14ac:dyDescent="0.3">
      <c r="A328" s="2">
        <v>45722</v>
      </c>
      <c r="B328" s="1">
        <v>0</v>
      </c>
      <c r="C328" s="1">
        <v>131600</v>
      </c>
      <c r="D328" s="3">
        <f t="shared" si="36"/>
        <v>-131600</v>
      </c>
      <c r="E328" s="1">
        <v>0</v>
      </c>
      <c r="F328" s="1">
        <v>10472866.77802743</v>
      </c>
      <c r="G328" s="1"/>
      <c r="H328">
        <f t="shared" si="31"/>
        <v>3</v>
      </c>
      <c r="I328" t="str">
        <f t="shared" si="32"/>
        <v/>
      </c>
      <c r="J328" t="str">
        <f t="shared" si="33"/>
        <v/>
      </c>
      <c r="K328" t="str">
        <f t="shared" si="34"/>
        <v/>
      </c>
      <c r="L328" t="str">
        <f t="shared" si="34"/>
        <v/>
      </c>
      <c r="M328" t="b">
        <f t="shared" si="35"/>
        <v>0</v>
      </c>
    </row>
    <row r="329" spans="1:13" ht="15.75" x14ac:dyDescent="0.3">
      <c r="A329" s="2">
        <v>45723</v>
      </c>
      <c r="B329" s="1">
        <v>0</v>
      </c>
      <c r="C329" s="1">
        <v>76575</v>
      </c>
      <c r="D329" s="3">
        <f t="shared" si="36"/>
        <v>-76575</v>
      </c>
      <c r="E329" s="1">
        <v>0</v>
      </c>
      <c r="F329" s="1">
        <v>10754806.62729905</v>
      </c>
      <c r="G329" s="1"/>
      <c r="H329">
        <f t="shared" si="31"/>
        <v>3</v>
      </c>
      <c r="I329" t="str">
        <f t="shared" si="32"/>
        <v/>
      </c>
      <c r="J329" t="str">
        <f t="shared" si="33"/>
        <v/>
      </c>
      <c r="K329" t="str">
        <f t="shared" si="34"/>
        <v/>
      </c>
      <c r="L329" t="str">
        <f t="shared" si="34"/>
        <v/>
      </c>
      <c r="M329" t="b">
        <f t="shared" si="35"/>
        <v>0</v>
      </c>
    </row>
    <row r="330" spans="1:13" ht="15.75" x14ac:dyDescent="0.3">
      <c r="A330" s="2">
        <v>45726</v>
      </c>
      <c r="B330" s="1">
        <v>0</v>
      </c>
      <c r="C330" s="1">
        <v>260795</v>
      </c>
      <c r="D330" s="3">
        <f t="shared" si="36"/>
        <v>-260795</v>
      </c>
      <c r="E330" s="1">
        <v>0</v>
      </c>
      <c r="F330" s="1">
        <v>11433063.20313615</v>
      </c>
      <c r="G330" s="1"/>
      <c r="H330">
        <f t="shared" si="31"/>
        <v>3</v>
      </c>
      <c r="I330" t="str">
        <f t="shared" si="32"/>
        <v/>
      </c>
      <c r="J330" t="str">
        <f t="shared" si="33"/>
        <v/>
      </c>
      <c r="K330" t="str">
        <f t="shared" si="34"/>
        <v/>
      </c>
      <c r="L330" t="str">
        <f t="shared" si="34"/>
        <v/>
      </c>
      <c r="M330" t="b">
        <f t="shared" si="35"/>
        <v>0</v>
      </c>
    </row>
    <row r="331" spans="1:13" ht="15.75" x14ac:dyDescent="0.3">
      <c r="A331" s="2">
        <v>45727</v>
      </c>
      <c r="B331" s="1">
        <v>0</v>
      </c>
      <c r="C331" s="1">
        <v>281617</v>
      </c>
      <c r="D331" s="3">
        <f t="shared" si="36"/>
        <v>-281617</v>
      </c>
      <c r="E331" s="1">
        <v>0</v>
      </c>
      <c r="F331" s="1">
        <v>11153680.21708603</v>
      </c>
      <c r="G331" s="1"/>
      <c r="H331">
        <f t="shared" si="31"/>
        <v>3</v>
      </c>
      <c r="I331" t="str">
        <f t="shared" si="32"/>
        <v/>
      </c>
      <c r="J331" t="str">
        <f t="shared" si="33"/>
        <v/>
      </c>
      <c r="K331" t="str">
        <f t="shared" si="34"/>
        <v/>
      </c>
      <c r="L331" t="str">
        <f t="shared" si="34"/>
        <v/>
      </c>
      <c r="M331" t="b">
        <f t="shared" si="35"/>
        <v>0</v>
      </c>
    </row>
    <row r="332" spans="1:13" ht="15.75" x14ac:dyDescent="0.3">
      <c r="A332" s="2">
        <v>45728</v>
      </c>
      <c r="B332" s="1">
        <v>0</v>
      </c>
      <c r="C332" s="1">
        <v>389156</v>
      </c>
      <c r="D332" s="3">
        <f t="shared" si="36"/>
        <v>-389156</v>
      </c>
      <c r="E332" s="1">
        <v>0</v>
      </c>
      <c r="F332" s="1">
        <v>11527007.573175989</v>
      </c>
      <c r="G332" s="1"/>
      <c r="H332">
        <f t="shared" si="31"/>
        <v>3</v>
      </c>
      <c r="I332" t="str">
        <f t="shared" si="32"/>
        <v/>
      </c>
      <c r="J332" t="str">
        <f t="shared" si="33"/>
        <v/>
      </c>
      <c r="K332" t="str">
        <f t="shared" si="34"/>
        <v/>
      </c>
      <c r="L332" t="str">
        <f t="shared" si="34"/>
        <v/>
      </c>
      <c r="M332" t="b">
        <f t="shared" si="35"/>
        <v>0</v>
      </c>
    </row>
    <row r="333" spans="1:13" ht="15.75" x14ac:dyDescent="0.3">
      <c r="A333" s="2">
        <v>45729</v>
      </c>
      <c r="B333" s="1">
        <v>0</v>
      </c>
      <c r="C333" s="1">
        <v>581522</v>
      </c>
      <c r="D333" s="3">
        <f t="shared" si="36"/>
        <v>-581522</v>
      </c>
      <c r="E333" s="1">
        <v>0</v>
      </c>
      <c r="F333" s="1">
        <v>12223025.418679651</v>
      </c>
      <c r="G333" s="1"/>
      <c r="H333">
        <f t="shared" si="31"/>
        <v>3</v>
      </c>
      <c r="I333" t="str">
        <f t="shared" si="32"/>
        <v/>
      </c>
      <c r="J333" t="str">
        <f t="shared" si="33"/>
        <v/>
      </c>
      <c r="K333" t="str">
        <f t="shared" si="34"/>
        <v/>
      </c>
      <c r="L333" t="str">
        <f t="shared" si="34"/>
        <v/>
      </c>
      <c r="M333" t="b">
        <f t="shared" si="35"/>
        <v>0</v>
      </c>
    </row>
    <row r="334" spans="1:13" ht="15.75" x14ac:dyDescent="0.3">
      <c r="A334" s="2">
        <v>45730</v>
      </c>
      <c r="B334" s="1">
        <v>0</v>
      </c>
      <c r="C334" s="1">
        <v>368215</v>
      </c>
      <c r="D334" s="3">
        <f t="shared" si="36"/>
        <v>-368215</v>
      </c>
      <c r="E334" s="1">
        <v>0</v>
      </c>
      <c r="F334" s="1">
        <v>11700684.8904537</v>
      </c>
      <c r="G334" s="1"/>
      <c r="H334">
        <f t="shared" si="31"/>
        <v>3</v>
      </c>
      <c r="I334" t="str">
        <f t="shared" si="32"/>
        <v/>
      </c>
      <c r="J334" t="str">
        <f t="shared" si="33"/>
        <v/>
      </c>
      <c r="K334" t="str">
        <f t="shared" si="34"/>
        <v/>
      </c>
      <c r="L334" t="str">
        <f t="shared" si="34"/>
        <v/>
      </c>
      <c r="M334" t="b">
        <f t="shared" si="35"/>
        <v>0</v>
      </c>
    </row>
    <row r="335" spans="1:13" ht="15.75" x14ac:dyDescent="0.3">
      <c r="A335" s="2">
        <v>45733</v>
      </c>
      <c r="B335" s="1">
        <v>0</v>
      </c>
      <c r="C335" s="1">
        <v>108663</v>
      </c>
      <c r="D335" s="3">
        <f t="shared" si="36"/>
        <v>-108663</v>
      </c>
      <c r="E335" s="1">
        <v>0</v>
      </c>
      <c r="F335" s="1">
        <v>11285891.58816978</v>
      </c>
      <c r="G335" s="1"/>
      <c r="H335">
        <f t="shared" si="31"/>
        <v>3</v>
      </c>
      <c r="I335" t="str">
        <f t="shared" si="32"/>
        <v/>
      </c>
      <c r="J335" t="str">
        <f t="shared" si="33"/>
        <v/>
      </c>
      <c r="K335" t="str">
        <f t="shared" si="34"/>
        <v/>
      </c>
      <c r="L335" t="str">
        <f t="shared" si="34"/>
        <v/>
      </c>
      <c r="M335" t="b">
        <f t="shared" si="35"/>
        <v>0</v>
      </c>
    </row>
    <row r="336" spans="1:13" ht="15.75" x14ac:dyDescent="0.3">
      <c r="A336" s="2">
        <v>45734</v>
      </c>
      <c r="B336" s="1">
        <v>0</v>
      </c>
      <c r="C336" s="1">
        <v>56810</v>
      </c>
      <c r="D336" s="3">
        <f t="shared" si="36"/>
        <v>-56810</v>
      </c>
      <c r="E336" s="1">
        <v>0</v>
      </c>
      <c r="F336" s="1">
        <v>11433346.588934081</v>
      </c>
      <c r="G336" s="1"/>
      <c r="H336">
        <f t="shared" si="31"/>
        <v>3</v>
      </c>
      <c r="I336" t="str">
        <f t="shared" si="32"/>
        <v/>
      </c>
      <c r="J336" t="str">
        <f t="shared" si="33"/>
        <v/>
      </c>
      <c r="K336" t="str">
        <f t="shared" si="34"/>
        <v/>
      </c>
      <c r="L336" t="str">
        <f t="shared" si="34"/>
        <v/>
      </c>
      <c r="M336" t="b">
        <f t="shared" si="35"/>
        <v>0</v>
      </c>
    </row>
    <row r="337" spans="1:13" ht="15.75" x14ac:dyDescent="0.3">
      <c r="A337" s="2">
        <v>45735</v>
      </c>
      <c r="B337" s="1">
        <v>0</v>
      </c>
      <c r="C337" s="1">
        <v>105667</v>
      </c>
      <c r="D337" s="3">
        <f t="shared" si="36"/>
        <v>-105667</v>
      </c>
      <c r="E337" s="1">
        <v>0</v>
      </c>
      <c r="F337" s="1">
        <v>11107991.77433238</v>
      </c>
      <c r="G337" s="1"/>
      <c r="H337">
        <f t="shared" si="31"/>
        <v>3</v>
      </c>
      <c r="I337" t="str">
        <f t="shared" si="32"/>
        <v/>
      </c>
      <c r="J337" t="str">
        <f t="shared" si="33"/>
        <v/>
      </c>
      <c r="K337" t="str">
        <f t="shared" si="34"/>
        <v/>
      </c>
      <c r="L337" t="str">
        <f t="shared" si="34"/>
        <v/>
      </c>
      <c r="M337" t="b">
        <f t="shared" si="35"/>
        <v>0</v>
      </c>
    </row>
    <row r="338" spans="1:13" ht="15.75" x14ac:dyDescent="0.3">
      <c r="A338" s="2">
        <v>45736</v>
      </c>
      <c r="B338" s="1">
        <v>0</v>
      </c>
      <c r="C338" s="1">
        <v>206102</v>
      </c>
      <c r="D338" s="3">
        <f t="shared" si="36"/>
        <v>-206102</v>
      </c>
      <c r="E338" s="1">
        <v>0</v>
      </c>
      <c r="F338" s="1">
        <v>11262831.31455672</v>
      </c>
      <c r="G338" s="1"/>
      <c r="H338">
        <f t="shared" si="31"/>
        <v>3</v>
      </c>
      <c r="I338" t="str">
        <f t="shared" si="32"/>
        <v/>
      </c>
      <c r="J338" t="str">
        <f t="shared" si="33"/>
        <v/>
      </c>
      <c r="K338" t="str">
        <f t="shared" si="34"/>
        <v/>
      </c>
      <c r="L338" t="str">
        <f t="shared" si="34"/>
        <v/>
      </c>
      <c r="M338" t="b">
        <f t="shared" si="35"/>
        <v>0</v>
      </c>
    </row>
    <row r="339" spans="1:13" ht="15.75" x14ac:dyDescent="0.3">
      <c r="A339" s="2">
        <v>45737</v>
      </c>
      <c r="B339" s="1">
        <v>0</v>
      </c>
      <c r="C339" s="1">
        <v>179095</v>
      </c>
      <c r="D339" s="3">
        <f t="shared" si="36"/>
        <v>-179095</v>
      </c>
      <c r="E339" s="1">
        <v>0</v>
      </c>
      <c r="F339" s="1">
        <v>10712096.774648931</v>
      </c>
      <c r="G339" s="1"/>
      <c r="H339">
        <f t="shared" si="31"/>
        <v>3</v>
      </c>
      <c r="I339" t="str">
        <f t="shared" si="32"/>
        <v/>
      </c>
      <c r="J339" t="str">
        <f t="shared" si="33"/>
        <v/>
      </c>
      <c r="K339" t="str">
        <f t="shared" si="34"/>
        <v/>
      </c>
      <c r="L339" t="str">
        <f t="shared" si="34"/>
        <v/>
      </c>
      <c r="M339" t="b">
        <f t="shared" si="35"/>
        <v>0</v>
      </c>
    </row>
    <row r="340" spans="1:13" ht="15.75" x14ac:dyDescent="0.3">
      <c r="A340" s="2">
        <v>45741</v>
      </c>
      <c r="B340" s="1">
        <v>0</v>
      </c>
      <c r="C340" s="1">
        <v>405360</v>
      </c>
      <c r="D340" s="3">
        <f t="shared" si="36"/>
        <v>-405360</v>
      </c>
      <c r="E340" s="1">
        <v>0</v>
      </c>
      <c r="F340" s="1">
        <v>10750844.828051779</v>
      </c>
      <c r="G340" s="1"/>
      <c r="H340">
        <f t="shared" si="31"/>
        <v>3</v>
      </c>
      <c r="I340" t="str">
        <f t="shared" si="32"/>
        <v/>
      </c>
      <c r="J340" t="str">
        <f t="shared" si="33"/>
        <v/>
      </c>
      <c r="K340" t="str">
        <f t="shared" si="34"/>
        <v/>
      </c>
      <c r="L340" t="str">
        <f t="shared" si="34"/>
        <v/>
      </c>
      <c r="M340" t="b">
        <f t="shared" si="35"/>
        <v>0</v>
      </c>
    </row>
    <row r="341" spans="1:13" ht="15.75" x14ac:dyDescent="0.3">
      <c r="A341" s="2">
        <v>45742</v>
      </c>
      <c r="B341" s="1">
        <v>0</v>
      </c>
      <c r="C341" s="1">
        <v>386860</v>
      </c>
      <c r="D341" s="3">
        <f t="shared" si="36"/>
        <v>-386860</v>
      </c>
      <c r="E341" s="1">
        <v>0</v>
      </c>
      <c r="F341" s="1">
        <v>10919323.640469581</v>
      </c>
      <c r="G341" s="1"/>
      <c r="H341">
        <f t="shared" si="31"/>
        <v>3</v>
      </c>
      <c r="I341" t="str">
        <f t="shared" si="32"/>
        <v/>
      </c>
      <c r="J341" t="str">
        <f t="shared" si="33"/>
        <v/>
      </c>
      <c r="K341" t="str">
        <f t="shared" si="34"/>
        <v/>
      </c>
      <c r="L341" t="str">
        <f t="shared" si="34"/>
        <v/>
      </c>
      <c r="M341" t="b">
        <f t="shared" si="35"/>
        <v>0</v>
      </c>
    </row>
    <row r="342" spans="1:13" ht="15.75" x14ac:dyDescent="0.3">
      <c r="A342" s="2">
        <v>45743</v>
      </c>
      <c r="B342" s="1">
        <v>0</v>
      </c>
      <c r="C342" s="1">
        <v>350386</v>
      </c>
      <c r="D342" s="3">
        <f t="shared" si="36"/>
        <v>-350386</v>
      </c>
      <c r="E342" s="1">
        <v>0</v>
      </c>
      <c r="F342" s="1">
        <v>10470568.682547599</v>
      </c>
      <c r="G342" s="1"/>
      <c r="H342">
        <f t="shared" si="31"/>
        <v>3</v>
      </c>
      <c r="I342" t="str">
        <f t="shared" si="32"/>
        <v/>
      </c>
      <c r="J342" t="str">
        <f t="shared" si="33"/>
        <v/>
      </c>
      <c r="K342" t="str">
        <f t="shared" si="34"/>
        <v/>
      </c>
      <c r="L342" t="str">
        <f t="shared" si="34"/>
        <v/>
      </c>
      <c r="M342" t="b">
        <f t="shared" si="35"/>
        <v>0</v>
      </c>
    </row>
    <row r="343" spans="1:13" ht="15.75" x14ac:dyDescent="0.3">
      <c r="A343" s="2">
        <v>45744</v>
      </c>
      <c r="B343" s="1">
        <v>0</v>
      </c>
      <c r="C343" s="1">
        <v>361010</v>
      </c>
      <c r="D343" s="3">
        <f t="shared" si="36"/>
        <v>-361010</v>
      </c>
      <c r="E343" s="1">
        <v>0</v>
      </c>
      <c r="F343" s="1">
        <v>10568610.3706793</v>
      </c>
      <c r="G343" s="1"/>
      <c r="H343">
        <f t="shared" si="31"/>
        <v>3</v>
      </c>
      <c r="I343" t="str">
        <f t="shared" si="32"/>
        <v/>
      </c>
      <c r="J343" t="str">
        <f t="shared" si="33"/>
        <v/>
      </c>
      <c r="K343" t="str">
        <f t="shared" si="34"/>
        <v/>
      </c>
      <c r="L343" t="str">
        <f t="shared" si="34"/>
        <v/>
      </c>
      <c r="M343" t="b">
        <f t="shared" si="35"/>
        <v>0</v>
      </c>
    </row>
    <row r="344" spans="1:13" ht="15.75" x14ac:dyDescent="0.3">
      <c r="A344" s="2">
        <v>45747</v>
      </c>
      <c r="B344" s="1">
        <v>0</v>
      </c>
      <c r="C344" s="1">
        <v>433349</v>
      </c>
      <c r="D344" s="3">
        <f t="shared" si="36"/>
        <v>-433349</v>
      </c>
      <c r="E344" s="1">
        <v>0</v>
      </c>
      <c r="F344" s="1">
        <v>10254705.929899311</v>
      </c>
      <c r="G344" s="1"/>
      <c r="H344">
        <f t="shared" si="31"/>
        <v>3</v>
      </c>
      <c r="I344">
        <f t="shared" si="32"/>
        <v>-433349</v>
      </c>
      <c r="J344">
        <f t="shared" si="33"/>
        <v>0</v>
      </c>
      <c r="K344">
        <f t="shared" si="34"/>
        <v>10254705.929899311</v>
      </c>
      <c r="L344">
        <f t="shared" si="34"/>
        <v>0</v>
      </c>
      <c r="M344" t="b">
        <f t="shared" si="35"/>
        <v>1</v>
      </c>
    </row>
    <row r="345" spans="1:13" ht="15.75" x14ac:dyDescent="0.3">
      <c r="A345" s="2">
        <v>45748</v>
      </c>
      <c r="B345" s="1">
        <v>0</v>
      </c>
      <c r="C345" s="1">
        <v>289222</v>
      </c>
      <c r="D345" s="3">
        <f t="shared" si="36"/>
        <v>-289222</v>
      </c>
      <c r="E345" s="1">
        <v>0</v>
      </c>
      <c r="F345" s="1">
        <v>6544379.9827523297</v>
      </c>
      <c r="G345" s="1"/>
      <c r="H345">
        <f t="shared" si="31"/>
        <v>4</v>
      </c>
      <c r="I345" t="str">
        <f t="shared" si="32"/>
        <v/>
      </c>
      <c r="J345" t="str">
        <f t="shared" si="33"/>
        <v/>
      </c>
      <c r="K345" t="str">
        <f t="shared" si="34"/>
        <v/>
      </c>
      <c r="L345" t="str">
        <f t="shared" si="34"/>
        <v/>
      </c>
      <c r="M345" t="b">
        <f t="shared" si="35"/>
        <v>0</v>
      </c>
    </row>
    <row r="346" spans="1:13" ht="15.75" x14ac:dyDescent="0.3">
      <c r="A346" s="2">
        <v>45750</v>
      </c>
      <c r="B346" s="1">
        <v>0</v>
      </c>
      <c r="C346" s="1">
        <v>220141</v>
      </c>
      <c r="D346" s="3">
        <f t="shared" si="36"/>
        <v>-220141</v>
      </c>
      <c r="E346" s="1">
        <v>0</v>
      </c>
      <c r="F346" s="1">
        <v>5869931.3770318041</v>
      </c>
      <c r="G346" s="1"/>
      <c r="H346">
        <f t="shared" si="31"/>
        <v>4</v>
      </c>
      <c r="I346" t="str">
        <f t="shared" si="32"/>
        <v/>
      </c>
      <c r="J346" t="str">
        <f t="shared" si="33"/>
        <v/>
      </c>
      <c r="K346" t="str">
        <f t="shared" si="34"/>
        <v/>
      </c>
      <c r="L346" t="str">
        <f t="shared" si="34"/>
        <v/>
      </c>
      <c r="M346" t="b">
        <f t="shared" si="35"/>
        <v>0</v>
      </c>
    </row>
    <row r="347" spans="1:13" ht="15.75" x14ac:dyDescent="0.3">
      <c r="A347" s="2">
        <v>45751</v>
      </c>
      <c r="B347" s="1">
        <v>0</v>
      </c>
      <c r="C347" s="1">
        <v>304689</v>
      </c>
      <c r="D347" s="3">
        <f t="shared" si="36"/>
        <v>-304689</v>
      </c>
      <c r="E347" s="1">
        <v>0</v>
      </c>
      <c r="F347" s="1">
        <v>6556235.3479731558</v>
      </c>
      <c r="G347" s="1"/>
      <c r="H347">
        <f t="shared" si="31"/>
        <v>4</v>
      </c>
      <c r="I347" t="str">
        <f t="shared" si="32"/>
        <v/>
      </c>
      <c r="J347" t="str">
        <f t="shared" si="33"/>
        <v/>
      </c>
      <c r="K347" t="str">
        <f t="shared" si="34"/>
        <v/>
      </c>
      <c r="L347" t="str">
        <f t="shared" si="34"/>
        <v/>
      </c>
      <c r="M347" t="b">
        <f t="shared" si="35"/>
        <v>0</v>
      </c>
    </row>
    <row r="348" spans="1:13" ht="15.75" x14ac:dyDescent="0.3">
      <c r="A348" s="2">
        <v>45754</v>
      </c>
      <c r="B348" s="1">
        <v>0</v>
      </c>
      <c r="C348" s="1">
        <v>310774</v>
      </c>
      <c r="D348" s="3">
        <f t="shared" si="36"/>
        <v>-310774</v>
      </c>
      <c r="E348" s="1">
        <v>0</v>
      </c>
      <c r="F348" s="1">
        <v>5997562.7014661953</v>
      </c>
      <c r="G348" s="1"/>
      <c r="H348">
        <f t="shared" si="31"/>
        <v>4</v>
      </c>
      <c r="I348" t="str">
        <f t="shared" si="32"/>
        <v/>
      </c>
      <c r="J348" t="str">
        <f t="shared" si="33"/>
        <v/>
      </c>
      <c r="K348" t="str">
        <f t="shared" si="34"/>
        <v/>
      </c>
      <c r="L348" t="str">
        <f t="shared" si="34"/>
        <v/>
      </c>
      <c r="M348" t="b">
        <f t="shared" si="35"/>
        <v>0</v>
      </c>
    </row>
    <row r="349" spans="1:13" ht="15.75" x14ac:dyDescent="0.3">
      <c r="A349" s="2">
        <v>45755</v>
      </c>
      <c r="B349" s="1">
        <v>0</v>
      </c>
      <c r="C349" s="1">
        <v>364605</v>
      </c>
      <c r="D349" s="3">
        <f t="shared" si="36"/>
        <v>-364605</v>
      </c>
      <c r="E349" s="1">
        <v>0</v>
      </c>
      <c r="F349" s="1">
        <v>5770093.8524262942</v>
      </c>
      <c r="G349" s="1"/>
      <c r="H349">
        <f t="shared" si="31"/>
        <v>4</v>
      </c>
      <c r="I349" t="str">
        <f t="shared" si="32"/>
        <v/>
      </c>
      <c r="J349" t="str">
        <f t="shared" si="33"/>
        <v/>
      </c>
      <c r="K349" t="str">
        <f t="shared" si="34"/>
        <v/>
      </c>
      <c r="L349" t="str">
        <f t="shared" si="34"/>
        <v/>
      </c>
      <c r="M349" t="b">
        <f t="shared" si="35"/>
        <v>0</v>
      </c>
    </row>
    <row r="350" spans="1:13" ht="15.75" x14ac:dyDescent="0.3">
      <c r="A350" s="2">
        <v>45756</v>
      </c>
      <c r="B350" s="1">
        <v>0</v>
      </c>
      <c r="C350" s="1">
        <v>654902</v>
      </c>
      <c r="D350" s="3">
        <f t="shared" si="36"/>
        <v>-654902</v>
      </c>
      <c r="E350" s="1">
        <v>0</v>
      </c>
      <c r="F350" s="1">
        <v>6036268.6371760182</v>
      </c>
      <c r="G350" s="1"/>
      <c r="H350">
        <f t="shared" si="31"/>
        <v>4</v>
      </c>
      <c r="I350" t="str">
        <f t="shared" si="32"/>
        <v/>
      </c>
      <c r="J350" t="str">
        <f t="shared" si="33"/>
        <v/>
      </c>
      <c r="K350" t="str">
        <f t="shared" si="34"/>
        <v/>
      </c>
      <c r="L350" t="str">
        <f t="shared" si="34"/>
        <v/>
      </c>
      <c r="M350" t="b">
        <f t="shared" si="35"/>
        <v>0</v>
      </c>
    </row>
    <row r="351" spans="1:13" ht="15.75" x14ac:dyDescent="0.3">
      <c r="A351" s="2">
        <v>45757</v>
      </c>
      <c r="B351" s="1">
        <v>0</v>
      </c>
      <c r="C351" s="1">
        <v>1380276</v>
      </c>
      <c r="D351" s="3">
        <f t="shared" si="36"/>
        <v>-1380276</v>
      </c>
      <c r="E351" s="1">
        <v>0</v>
      </c>
      <c r="F351" s="1">
        <v>6570624.6393342763</v>
      </c>
      <c r="G351" s="1"/>
      <c r="H351">
        <f t="shared" si="31"/>
        <v>4</v>
      </c>
      <c r="I351" t="str">
        <f t="shared" si="32"/>
        <v/>
      </c>
      <c r="J351" t="str">
        <f t="shared" si="33"/>
        <v/>
      </c>
      <c r="K351" t="str">
        <f t="shared" si="34"/>
        <v/>
      </c>
      <c r="L351" t="str">
        <f t="shared" si="34"/>
        <v/>
      </c>
      <c r="M351" t="b">
        <f t="shared" si="35"/>
        <v>0</v>
      </c>
    </row>
    <row r="352" spans="1:13" ht="15.75" x14ac:dyDescent="0.3">
      <c r="A352" s="2">
        <v>45758</v>
      </c>
      <c r="B352" s="1">
        <v>0</v>
      </c>
      <c r="C352" s="1">
        <v>566229</v>
      </c>
      <c r="D352" s="3">
        <f t="shared" si="36"/>
        <v>-566229</v>
      </c>
      <c r="E352" s="1">
        <v>0</v>
      </c>
      <c r="F352" s="1">
        <v>3668166.0436805189</v>
      </c>
      <c r="G352" s="1"/>
      <c r="H352">
        <f t="shared" si="31"/>
        <v>4</v>
      </c>
      <c r="I352" t="str">
        <f t="shared" si="32"/>
        <v/>
      </c>
      <c r="J352" t="str">
        <f t="shared" si="33"/>
        <v/>
      </c>
      <c r="K352" t="str">
        <f t="shared" si="34"/>
        <v/>
      </c>
      <c r="L352" t="str">
        <f t="shared" si="34"/>
        <v/>
      </c>
      <c r="M352" t="b">
        <f t="shared" si="35"/>
        <v>0</v>
      </c>
    </row>
    <row r="353" spans="1:13" ht="15.75" x14ac:dyDescent="0.3">
      <c r="A353" s="2">
        <v>45761</v>
      </c>
      <c r="B353" s="1">
        <v>0</v>
      </c>
      <c r="C353" s="1">
        <v>523427</v>
      </c>
      <c r="D353" s="3">
        <f t="shared" si="36"/>
        <v>-523427</v>
      </c>
      <c r="E353" s="1">
        <v>0</v>
      </c>
      <c r="F353" s="1">
        <v>6664155.0781474439</v>
      </c>
      <c r="G353" s="1"/>
      <c r="H353">
        <f t="shared" si="31"/>
        <v>4</v>
      </c>
      <c r="I353" t="str">
        <f t="shared" si="32"/>
        <v/>
      </c>
      <c r="J353" t="str">
        <f t="shared" si="33"/>
        <v/>
      </c>
      <c r="K353" t="str">
        <f t="shared" si="34"/>
        <v/>
      </c>
      <c r="L353" t="str">
        <f t="shared" si="34"/>
        <v/>
      </c>
      <c r="M353" t="b">
        <f t="shared" si="35"/>
        <v>0</v>
      </c>
    </row>
    <row r="354" spans="1:13" ht="15.75" x14ac:dyDescent="0.3">
      <c r="A354" s="2">
        <v>45762</v>
      </c>
      <c r="B354" s="1">
        <v>0</v>
      </c>
      <c r="C354" s="1">
        <v>469364</v>
      </c>
      <c r="D354" s="3">
        <f t="shared" si="36"/>
        <v>-469364</v>
      </c>
      <c r="E354" s="1">
        <v>0</v>
      </c>
      <c r="F354" s="1">
        <v>6808424.0657466529</v>
      </c>
      <c r="G354" s="1"/>
      <c r="H354">
        <f t="shared" si="31"/>
        <v>4</v>
      </c>
      <c r="I354" t="str">
        <f t="shared" si="32"/>
        <v/>
      </c>
      <c r="J354" t="str">
        <f t="shared" si="33"/>
        <v/>
      </c>
      <c r="K354" t="str">
        <f t="shared" si="34"/>
        <v/>
      </c>
      <c r="L354" t="str">
        <f t="shared" si="34"/>
        <v/>
      </c>
      <c r="M354" t="b">
        <f t="shared" si="35"/>
        <v>0</v>
      </c>
    </row>
    <row r="355" spans="1:13" ht="15.75" x14ac:dyDescent="0.3">
      <c r="A355" s="2">
        <v>45763</v>
      </c>
      <c r="B355" s="1">
        <v>0</v>
      </c>
      <c r="C355" s="1">
        <v>410222</v>
      </c>
      <c r="D355" s="3">
        <f t="shared" si="36"/>
        <v>-410222</v>
      </c>
      <c r="E355" s="1">
        <v>0</v>
      </c>
      <c r="F355" s="1">
        <v>8888222.8783821184</v>
      </c>
      <c r="G355" s="1"/>
      <c r="H355">
        <f t="shared" si="31"/>
        <v>4</v>
      </c>
      <c r="I355" t="str">
        <f t="shared" si="32"/>
        <v/>
      </c>
      <c r="J355" t="str">
        <f t="shared" si="33"/>
        <v/>
      </c>
      <c r="K355" t="str">
        <f t="shared" si="34"/>
        <v/>
      </c>
      <c r="L355" t="str">
        <f t="shared" si="34"/>
        <v/>
      </c>
      <c r="M355" t="b">
        <f t="shared" si="35"/>
        <v>0</v>
      </c>
    </row>
    <row r="356" spans="1:13" ht="15.75" x14ac:dyDescent="0.3">
      <c r="A356" s="2">
        <v>45768</v>
      </c>
      <c r="B356" s="1">
        <v>0</v>
      </c>
      <c r="C356" s="1">
        <v>68663</v>
      </c>
      <c r="D356" s="3">
        <f t="shared" si="36"/>
        <v>-68663</v>
      </c>
      <c r="E356" s="1">
        <v>0</v>
      </c>
      <c r="F356" s="1">
        <v>10426345.873715309</v>
      </c>
      <c r="G356" s="1"/>
      <c r="H356">
        <f t="shared" si="31"/>
        <v>4</v>
      </c>
      <c r="I356" t="str">
        <f t="shared" si="32"/>
        <v/>
      </c>
      <c r="J356" t="str">
        <f t="shared" si="33"/>
        <v/>
      </c>
      <c r="K356" t="str">
        <f t="shared" si="34"/>
        <v/>
      </c>
      <c r="L356" t="str">
        <f t="shared" si="34"/>
        <v/>
      </c>
      <c r="M356" t="b">
        <f t="shared" si="35"/>
        <v>0</v>
      </c>
    </row>
    <row r="357" spans="1:13" ht="15.75" x14ac:dyDescent="0.3">
      <c r="A357" s="2">
        <v>45769</v>
      </c>
      <c r="B357" s="1">
        <v>0</v>
      </c>
      <c r="C357" s="1">
        <v>63691</v>
      </c>
      <c r="D357" s="3">
        <f t="shared" si="36"/>
        <v>-63691</v>
      </c>
      <c r="E357" s="1">
        <v>0</v>
      </c>
      <c r="F357" s="1">
        <v>11396632.134783961</v>
      </c>
      <c r="G357" s="1"/>
      <c r="H357">
        <f t="shared" si="31"/>
        <v>4</v>
      </c>
      <c r="I357" t="str">
        <f t="shared" si="32"/>
        <v/>
      </c>
      <c r="J357" t="str">
        <f t="shared" si="33"/>
        <v/>
      </c>
      <c r="K357" t="str">
        <f t="shared" si="34"/>
        <v/>
      </c>
      <c r="L357" t="str">
        <f t="shared" si="34"/>
        <v/>
      </c>
      <c r="M357" t="b">
        <f t="shared" si="35"/>
        <v>0</v>
      </c>
    </row>
    <row r="358" spans="1:13" ht="15.75" x14ac:dyDescent="0.3">
      <c r="A358" s="2">
        <v>45770</v>
      </c>
      <c r="B358" s="1">
        <v>0</v>
      </c>
      <c r="C358" s="1">
        <v>49447</v>
      </c>
      <c r="D358" s="3">
        <f t="shared" si="36"/>
        <v>-49447</v>
      </c>
      <c r="E358" s="1">
        <v>0</v>
      </c>
      <c r="F358" s="1">
        <v>11145080.19825832</v>
      </c>
      <c r="G358" s="1"/>
      <c r="H358">
        <f t="shared" si="31"/>
        <v>4</v>
      </c>
      <c r="I358" t="str">
        <f t="shared" si="32"/>
        <v/>
      </c>
      <c r="J358" t="str">
        <f t="shared" si="33"/>
        <v/>
      </c>
      <c r="K358" t="str">
        <f t="shared" si="34"/>
        <v/>
      </c>
      <c r="L358" t="str">
        <f t="shared" si="34"/>
        <v/>
      </c>
      <c r="M358" t="b">
        <f t="shared" si="35"/>
        <v>0</v>
      </c>
    </row>
    <row r="359" spans="1:13" ht="15.75" x14ac:dyDescent="0.3">
      <c r="A359" s="2">
        <v>45771</v>
      </c>
      <c r="B359" s="1">
        <v>0</v>
      </c>
      <c r="C359" s="1">
        <v>43976</v>
      </c>
      <c r="D359" s="3">
        <f t="shared" si="36"/>
        <v>-43976</v>
      </c>
      <c r="E359" s="1">
        <v>0</v>
      </c>
      <c r="F359" s="1">
        <v>11078175.89191539</v>
      </c>
      <c r="G359" s="1"/>
      <c r="H359">
        <f t="shared" si="31"/>
        <v>4</v>
      </c>
      <c r="I359" t="str">
        <f t="shared" si="32"/>
        <v/>
      </c>
      <c r="J359" t="str">
        <f t="shared" si="33"/>
        <v/>
      </c>
      <c r="K359" t="str">
        <f t="shared" si="34"/>
        <v/>
      </c>
      <c r="L359" t="str">
        <f t="shared" si="34"/>
        <v/>
      </c>
      <c r="M359" t="b">
        <f t="shared" si="35"/>
        <v>0</v>
      </c>
    </row>
    <row r="360" spans="1:13" ht="15.75" x14ac:dyDescent="0.3">
      <c r="A360" s="2">
        <v>45772</v>
      </c>
      <c r="B360" s="1">
        <v>0</v>
      </c>
      <c r="C360" s="1">
        <v>0</v>
      </c>
      <c r="D360" s="3">
        <f t="shared" si="36"/>
        <v>0</v>
      </c>
      <c r="E360" s="1">
        <v>0</v>
      </c>
      <c r="F360" s="1">
        <v>10480969.032400191</v>
      </c>
      <c r="G360" s="1"/>
      <c r="H360">
        <f t="shared" si="31"/>
        <v>4</v>
      </c>
      <c r="I360" t="str">
        <f t="shared" si="32"/>
        <v/>
      </c>
      <c r="J360" t="str">
        <f t="shared" si="33"/>
        <v/>
      </c>
      <c r="K360" t="str">
        <f t="shared" si="34"/>
        <v/>
      </c>
      <c r="L360" t="str">
        <f t="shared" si="34"/>
        <v/>
      </c>
      <c r="M360" t="b">
        <f t="shared" si="35"/>
        <v>0</v>
      </c>
    </row>
    <row r="361" spans="1:13" ht="15.75" x14ac:dyDescent="0.3">
      <c r="A361" s="2">
        <v>45775</v>
      </c>
      <c r="B361" s="1">
        <v>0</v>
      </c>
      <c r="C361" s="1">
        <v>0</v>
      </c>
      <c r="D361" s="3">
        <f t="shared" si="36"/>
        <v>0</v>
      </c>
      <c r="E361" s="1">
        <v>0</v>
      </c>
      <c r="F361" s="1">
        <v>13107301.03904622</v>
      </c>
      <c r="G361" s="1"/>
      <c r="H361">
        <f t="shared" si="31"/>
        <v>4</v>
      </c>
      <c r="I361" t="str">
        <f t="shared" si="32"/>
        <v/>
      </c>
      <c r="J361" t="str">
        <f t="shared" si="33"/>
        <v/>
      </c>
      <c r="K361" t="str">
        <f t="shared" si="34"/>
        <v/>
      </c>
      <c r="L361" t="str">
        <f t="shared" si="34"/>
        <v/>
      </c>
      <c r="M361" t="b">
        <f t="shared" si="35"/>
        <v>0</v>
      </c>
    </row>
    <row r="362" spans="1:13" ht="15.75" x14ac:dyDescent="0.3">
      <c r="A362" s="2">
        <v>45776</v>
      </c>
      <c r="B362" s="1">
        <v>0</v>
      </c>
      <c r="C362" s="1">
        <v>0</v>
      </c>
      <c r="D362" s="3">
        <f t="shared" si="36"/>
        <v>0</v>
      </c>
      <c r="E362" s="1">
        <v>0</v>
      </c>
      <c r="F362" s="1">
        <v>12646173.22103926</v>
      </c>
      <c r="G362" s="1"/>
      <c r="H362">
        <f t="shared" si="31"/>
        <v>4</v>
      </c>
      <c r="I362" t="str">
        <f t="shared" si="32"/>
        <v/>
      </c>
      <c r="J362" t="str">
        <f t="shared" si="33"/>
        <v/>
      </c>
      <c r="K362" t="str">
        <f t="shared" si="34"/>
        <v/>
      </c>
      <c r="L362" t="str">
        <f t="shared" si="34"/>
        <v/>
      </c>
      <c r="M362" t="b">
        <f t="shared" si="35"/>
        <v>0</v>
      </c>
    </row>
    <row r="363" spans="1:13" ht="15.75" x14ac:dyDescent="0.3">
      <c r="A363" s="2">
        <v>45777</v>
      </c>
      <c r="B363" s="1">
        <v>0</v>
      </c>
      <c r="C363" s="1">
        <v>0</v>
      </c>
      <c r="D363" s="3">
        <f t="shared" si="36"/>
        <v>0</v>
      </c>
      <c r="E363" s="1">
        <v>0</v>
      </c>
      <c r="F363" s="1">
        <v>11534728.73263238</v>
      </c>
      <c r="G363" s="1"/>
      <c r="H363">
        <f t="shared" si="31"/>
        <v>4</v>
      </c>
      <c r="I363">
        <f t="shared" si="32"/>
        <v>0</v>
      </c>
      <c r="J363">
        <f t="shared" si="33"/>
        <v>0</v>
      </c>
      <c r="K363">
        <f t="shared" si="34"/>
        <v>11534728.73263238</v>
      </c>
      <c r="L363">
        <f t="shared" si="34"/>
        <v>0</v>
      </c>
      <c r="M363" t="b">
        <f t="shared" si="35"/>
        <v>1</v>
      </c>
    </row>
    <row r="364" spans="1:13" ht="15.75" x14ac:dyDescent="0.3">
      <c r="A364" s="2">
        <v>45782</v>
      </c>
      <c r="B364" s="1">
        <v>0</v>
      </c>
      <c r="C364" s="1">
        <v>0</v>
      </c>
      <c r="D364" s="3">
        <f t="shared" si="36"/>
        <v>0</v>
      </c>
      <c r="E364" s="1">
        <v>0</v>
      </c>
      <c r="F364" s="1">
        <v>7447272.3511955803</v>
      </c>
      <c r="G364" s="1"/>
      <c r="H364">
        <f t="shared" si="31"/>
        <v>5</v>
      </c>
      <c r="I364" t="str">
        <f t="shared" si="32"/>
        <v/>
      </c>
      <c r="J364" t="str">
        <f t="shared" si="33"/>
        <v/>
      </c>
      <c r="K364" t="str">
        <f t="shared" si="34"/>
        <v/>
      </c>
      <c r="L364" t="str">
        <f t="shared" si="34"/>
        <v/>
      </c>
      <c r="M364" t="b">
        <f t="shared" si="35"/>
        <v>0</v>
      </c>
    </row>
    <row r="365" spans="1:13" ht="15.75" x14ac:dyDescent="0.3">
      <c r="A365" s="2">
        <v>45783</v>
      </c>
      <c r="B365" s="1">
        <v>0</v>
      </c>
      <c r="C365" s="1">
        <v>0</v>
      </c>
      <c r="D365" s="3">
        <f t="shared" si="36"/>
        <v>0</v>
      </c>
      <c r="E365" s="1">
        <v>0</v>
      </c>
      <c r="F365" s="1">
        <v>7663742.2029747954</v>
      </c>
      <c r="G365" s="1"/>
      <c r="H365">
        <f t="shared" si="31"/>
        <v>5</v>
      </c>
      <c r="I365" t="str">
        <f t="shared" si="32"/>
        <v/>
      </c>
      <c r="J365" t="str">
        <f t="shared" si="33"/>
        <v/>
      </c>
      <c r="K365" t="str">
        <f t="shared" si="34"/>
        <v/>
      </c>
      <c r="L365" t="str">
        <f t="shared" si="34"/>
        <v/>
      </c>
      <c r="M365" t="b">
        <f t="shared" si="35"/>
        <v>0</v>
      </c>
    </row>
    <row r="366" spans="1:13" ht="15.75" x14ac:dyDescent="0.3">
      <c r="A366" s="2">
        <v>45784</v>
      </c>
      <c r="B366" s="1">
        <v>0</v>
      </c>
      <c r="C366" s="1">
        <v>0</v>
      </c>
      <c r="D366" s="3">
        <f t="shared" si="36"/>
        <v>0</v>
      </c>
      <c r="E366" s="1">
        <v>0</v>
      </c>
      <c r="F366" s="1">
        <v>7525772.0749002928</v>
      </c>
      <c r="G366" s="1"/>
      <c r="H366">
        <f t="shared" si="31"/>
        <v>5</v>
      </c>
      <c r="I366" t="str">
        <f t="shared" si="32"/>
        <v/>
      </c>
      <c r="J366" t="str">
        <f t="shared" si="33"/>
        <v/>
      </c>
      <c r="K366" t="str">
        <f t="shared" si="34"/>
        <v/>
      </c>
      <c r="L366" t="str">
        <f t="shared" si="34"/>
        <v/>
      </c>
      <c r="M366" t="b">
        <f t="shared" si="35"/>
        <v>0</v>
      </c>
    </row>
    <row r="367" spans="1:13" ht="15.75" x14ac:dyDescent="0.3">
      <c r="A367" s="2">
        <v>45785</v>
      </c>
      <c r="B367" s="1">
        <v>0</v>
      </c>
      <c r="C367" s="1">
        <v>0</v>
      </c>
      <c r="D367" s="3">
        <f t="shared" si="36"/>
        <v>0</v>
      </c>
      <c r="E367" s="1">
        <v>0</v>
      </c>
      <c r="F367" s="1">
        <v>7840380.3246205105</v>
      </c>
      <c r="G367" s="1"/>
      <c r="H367">
        <f t="shared" si="31"/>
        <v>5</v>
      </c>
      <c r="I367" t="str">
        <f t="shared" si="32"/>
        <v/>
      </c>
      <c r="J367" t="str">
        <f t="shared" si="33"/>
        <v/>
      </c>
      <c r="K367" t="str">
        <f t="shared" si="34"/>
        <v/>
      </c>
      <c r="L367" t="str">
        <f t="shared" si="34"/>
        <v/>
      </c>
      <c r="M367" t="b">
        <f t="shared" si="35"/>
        <v>0</v>
      </c>
    </row>
    <row r="368" spans="1:13" ht="15.75" x14ac:dyDescent="0.3">
      <c r="A368" s="2">
        <v>45786</v>
      </c>
      <c r="B368" s="1">
        <v>0</v>
      </c>
      <c r="C368" s="1">
        <v>0</v>
      </c>
      <c r="D368" s="3">
        <f t="shared" si="36"/>
        <v>0</v>
      </c>
      <c r="E368" s="1">
        <v>0</v>
      </c>
      <c r="F368" s="1">
        <v>8291871.2132762196</v>
      </c>
      <c r="G368" s="1"/>
      <c r="H368">
        <f t="shared" si="31"/>
        <v>5</v>
      </c>
      <c r="I368" t="str">
        <f t="shared" si="32"/>
        <v/>
      </c>
      <c r="J368" t="str">
        <f t="shared" si="33"/>
        <v/>
      </c>
      <c r="K368" t="str">
        <f t="shared" si="34"/>
        <v/>
      </c>
      <c r="L368" t="str">
        <f t="shared" si="34"/>
        <v/>
      </c>
      <c r="M368" t="b">
        <f t="shared" si="35"/>
        <v>0</v>
      </c>
    </row>
    <row r="369" spans="1:13" ht="15.75" x14ac:dyDescent="0.3">
      <c r="A369" s="2">
        <v>45789</v>
      </c>
      <c r="B369" s="1">
        <v>0</v>
      </c>
      <c r="C369" s="1">
        <v>0</v>
      </c>
      <c r="D369" s="3">
        <f t="shared" si="36"/>
        <v>0</v>
      </c>
      <c r="E369" s="1">
        <v>0</v>
      </c>
      <c r="F369" s="1">
        <v>11281042.216375571</v>
      </c>
      <c r="G369" s="1"/>
      <c r="H369">
        <f t="shared" si="31"/>
        <v>5</v>
      </c>
      <c r="I369" t="str">
        <f t="shared" si="32"/>
        <v/>
      </c>
      <c r="J369" t="str">
        <f t="shared" si="33"/>
        <v/>
      </c>
      <c r="K369" t="str">
        <f t="shared" si="34"/>
        <v/>
      </c>
      <c r="L369" t="str">
        <f t="shared" si="34"/>
        <v/>
      </c>
      <c r="M369" t="b">
        <f t="shared" si="35"/>
        <v>0</v>
      </c>
    </row>
    <row r="370" spans="1:13" ht="15.75" x14ac:dyDescent="0.3">
      <c r="A370" s="2">
        <v>45790</v>
      </c>
      <c r="B370" s="1">
        <v>0</v>
      </c>
      <c r="C370" s="1">
        <v>0</v>
      </c>
      <c r="D370" s="3">
        <f t="shared" si="36"/>
        <v>0</v>
      </c>
      <c r="E370" s="1">
        <v>0</v>
      </c>
      <c r="F370" s="1">
        <v>11445263.440383639</v>
      </c>
      <c r="G370" s="1"/>
      <c r="H370">
        <f t="shared" si="31"/>
        <v>5</v>
      </c>
      <c r="I370" t="str">
        <f t="shared" si="32"/>
        <v/>
      </c>
      <c r="J370" t="str">
        <f t="shared" si="33"/>
        <v/>
      </c>
      <c r="K370" t="str">
        <f t="shared" si="34"/>
        <v/>
      </c>
      <c r="L370" t="str">
        <f t="shared" si="34"/>
        <v/>
      </c>
      <c r="M370" t="b">
        <f t="shared" si="35"/>
        <v>0</v>
      </c>
    </row>
    <row r="371" spans="1:13" ht="15.75" x14ac:dyDescent="0.3">
      <c r="A371" s="2">
        <v>45791</v>
      </c>
      <c r="B371" s="1">
        <v>0</v>
      </c>
      <c r="C371" s="1">
        <v>0</v>
      </c>
      <c r="D371" s="3">
        <f t="shared" si="36"/>
        <v>0</v>
      </c>
      <c r="E371" s="1">
        <v>0</v>
      </c>
      <c r="F371" s="1">
        <v>11515797.168921269</v>
      </c>
      <c r="G371" s="1"/>
      <c r="H371">
        <f t="shared" si="31"/>
        <v>5</v>
      </c>
      <c r="I371" t="str">
        <f t="shared" si="32"/>
        <v/>
      </c>
      <c r="J371" t="str">
        <f t="shared" si="33"/>
        <v/>
      </c>
      <c r="K371" t="str">
        <f t="shared" si="34"/>
        <v/>
      </c>
      <c r="L371" t="str">
        <f t="shared" si="34"/>
        <v/>
      </c>
      <c r="M371" t="b">
        <f t="shared" si="35"/>
        <v>0</v>
      </c>
    </row>
    <row r="372" spans="1:13" ht="15.75" x14ac:dyDescent="0.3">
      <c r="A372" s="2">
        <v>45792</v>
      </c>
      <c r="B372" s="1">
        <v>0</v>
      </c>
      <c r="C372" s="1">
        <v>0</v>
      </c>
      <c r="D372" s="3">
        <f t="shared" si="36"/>
        <v>0</v>
      </c>
      <c r="E372" s="1">
        <v>0</v>
      </c>
      <c r="F372" s="1">
        <v>11762375.63456356</v>
      </c>
      <c r="G372" s="1"/>
      <c r="H372">
        <f t="shared" si="31"/>
        <v>5</v>
      </c>
      <c r="I372" t="str">
        <f t="shared" si="32"/>
        <v/>
      </c>
      <c r="J372" t="str">
        <f t="shared" si="33"/>
        <v/>
      </c>
      <c r="K372" t="str">
        <f t="shared" si="34"/>
        <v/>
      </c>
      <c r="L372" t="str">
        <f t="shared" si="34"/>
        <v/>
      </c>
      <c r="M372" t="b">
        <f t="shared" si="35"/>
        <v>0</v>
      </c>
    </row>
    <row r="373" spans="1:13" ht="15.75" x14ac:dyDescent="0.3">
      <c r="A373" s="2">
        <v>45793</v>
      </c>
      <c r="B373" s="1">
        <v>0</v>
      </c>
      <c r="C373" s="1">
        <v>0</v>
      </c>
      <c r="D373" s="3">
        <f t="shared" si="36"/>
        <v>0</v>
      </c>
      <c r="E373" s="1">
        <v>0</v>
      </c>
      <c r="F373" s="1">
        <v>10566427.31510653</v>
      </c>
      <c r="G373" s="1"/>
      <c r="H373">
        <f t="shared" si="31"/>
        <v>5</v>
      </c>
      <c r="I373" t="str">
        <f t="shared" si="32"/>
        <v/>
      </c>
      <c r="J373" t="str">
        <f t="shared" si="33"/>
        <v/>
      </c>
      <c r="K373" t="str">
        <f t="shared" si="34"/>
        <v/>
      </c>
      <c r="L373" t="str">
        <f t="shared" si="34"/>
        <v/>
      </c>
      <c r="M373" t="b">
        <f t="shared" si="35"/>
        <v>0</v>
      </c>
    </row>
    <row r="374" spans="1:13" ht="15.75" x14ac:dyDescent="0.3">
      <c r="A374" s="2">
        <v>45796</v>
      </c>
      <c r="B374" s="1">
        <v>0</v>
      </c>
      <c r="C374" s="1">
        <v>0</v>
      </c>
      <c r="D374" s="3">
        <f t="shared" si="36"/>
        <v>0</v>
      </c>
      <c r="E374" s="1">
        <v>0</v>
      </c>
      <c r="F374" s="1">
        <v>11248370.42621984</v>
      </c>
      <c r="G374" s="1"/>
      <c r="H374">
        <f t="shared" si="31"/>
        <v>5</v>
      </c>
      <c r="I374" t="str">
        <f t="shared" si="32"/>
        <v/>
      </c>
      <c r="J374" t="str">
        <f t="shared" si="33"/>
        <v/>
      </c>
      <c r="K374" t="str">
        <f t="shared" si="34"/>
        <v/>
      </c>
      <c r="L374" t="str">
        <f t="shared" si="34"/>
        <v/>
      </c>
      <c r="M374" t="b">
        <f t="shared" si="35"/>
        <v>0</v>
      </c>
    </row>
    <row r="375" spans="1:13" ht="15.75" x14ac:dyDescent="0.3">
      <c r="A375" s="2">
        <v>45797</v>
      </c>
      <c r="B375" s="1">
        <v>0</v>
      </c>
      <c r="C375" s="1">
        <v>0</v>
      </c>
      <c r="D375" s="3">
        <f t="shared" si="36"/>
        <v>0</v>
      </c>
      <c r="E375" s="1">
        <v>0</v>
      </c>
      <c r="F375" s="1">
        <v>12035528.891961411</v>
      </c>
      <c r="G375" s="1"/>
      <c r="H375">
        <f t="shared" si="31"/>
        <v>5</v>
      </c>
      <c r="I375" t="str">
        <f t="shared" si="32"/>
        <v/>
      </c>
      <c r="J375" t="str">
        <f t="shared" si="33"/>
        <v/>
      </c>
      <c r="K375" t="str">
        <f t="shared" si="34"/>
        <v/>
      </c>
      <c r="L375" t="str">
        <f t="shared" si="34"/>
        <v/>
      </c>
      <c r="M375" t="b">
        <f t="shared" si="35"/>
        <v>0</v>
      </c>
    </row>
    <row r="376" spans="1:13" ht="15.75" x14ac:dyDescent="0.3">
      <c r="A376" s="2">
        <v>45798</v>
      </c>
      <c r="B376" s="1">
        <v>0</v>
      </c>
      <c r="C376" s="1">
        <v>0</v>
      </c>
      <c r="D376" s="3">
        <f t="shared" si="36"/>
        <v>0</v>
      </c>
      <c r="E376" s="1">
        <v>0</v>
      </c>
      <c r="F376" s="1">
        <v>12379973.22695343</v>
      </c>
      <c r="G376" s="1"/>
      <c r="H376">
        <f t="shared" si="31"/>
        <v>5</v>
      </c>
      <c r="I376" t="str">
        <f t="shared" si="32"/>
        <v/>
      </c>
      <c r="J376" t="str">
        <f t="shared" si="33"/>
        <v/>
      </c>
      <c r="K376" t="str">
        <f t="shared" si="34"/>
        <v/>
      </c>
      <c r="L376" t="str">
        <f t="shared" si="34"/>
        <v/>
      </c>
      <c r="M376" t="b">
        <f t="shared" si="35"/>
        <v>0</v>
      </c>
    </row>
    <row r="377" spans="1:13" ht="15.75" x14ac:dyDescent="0.3">
      <c r="A377" s="2">
        <v>45799</v>
      </c>
      <c r="B377" s="1">
        <v>0</v>
      </c>
      <c r="C377" s="1">
        <v>0</v>
      </c>
      <c r="D377" s="3">
        <f t="shared" si="36"/>
        <v>0</v>
      </c>
      <c r="E377" s="1">
        <v>0</v>
      </c>
      <c r="F377" s="1">
        <v>12005423.35173462</v>
      </c>
      <c r="G377" s="1"/>
      <c r="H377">
        <f t="shared" si="31"/>
        <v>5</v>
      </c>
      <c r="I377" t="str">
        <f t="shared" si="32"/>
        <v/>
      </c>
      <c r="J377" t="str">
        <f t="shared" si="33"/>
        <v/>
      </c>
      <c r="K377" t="str">
        <f t="shared" si="34"/>
        <v/>
      </c>
      <c r="L377" t="str">
        <f t="shared" si="34"/>
        <v/>
      </c>
      <c r="M377" t="b">
        <f t="shared" si="35"/>
        <v>0</v>
      </c>
    </row>
    <row r="378" spans="1:13" ht="15.75" x14ac:dyDescent="0.3">
      <c r="A378" s="2">
        <v>45800</v>
      </c>
      <c r="B378" s="1">
        <v>0</v>
      </c>
      <c r="C378" s="1">
        <v>0</v>
      </c>
      <c r="D378" s="3">
        <f t="shared" si="36"/>
        <v>0</v>
      </c>
      <c r="E378" s="1">
        <v>0</v>
      </c>
      <c r="F378" s="1">
        <v>13443545.9560357</v>
      </c>
      <c r="G378" s="1"/>
      <c r="H378">
        <f t="shared" si="31"/>
        <v>5</v>
      </c>
      <c r="I378" t="str">
        <f t="shared" si="32"/>
        <v/>
      </c>
      <c r="J378" t="str">
        <f t="shared" si="33"/>
        <v/>
      </c>
      <c r="K378" t="str">
        <f t="shared" si="34"/>
        <v/>
      </c>
      <c r="L378" t="str">
        <f t="shared" si="34"/>
        <v/>
      </c>
      <c r="M378" t="b">
        <f t="shared" si="35"/>
        <v>0</v>
      </c>
    </row>
    <row r="379" spans="1:13" ht="15.75" x14ac:dyDescent="0.3">
      <c r="A379" s="2">
        <v>45803</v>
      </c>
      <c r="B379" s="1">
        <v>0</v>
      </c>
      <c r="C379" s="1">
        <v>0</v>
      </c>
      <c r="D379" s="3">
        <f t="shared" si="36"/>
        <v>0</v>
      </c>
      <c r="E379" s="1">
        <v>0</v>
      </c>
      <c r="F379" s="1">
        <v>13743285.837621501</v>
      </c>
      <c r="G379" s="1"/>
      <c r="H379">
        <f t="shared" si="31"/>
        <v>5</v>
      </c>
      <c r="I379" t="str">
        <f t="shared" si="32"/>
        <v/>
      </c>
      <c r="J379" t="str">
        <f t="shared" si="33"/>
        <v/>
      </c>
      <c r="K379" t="str">
        <f t="shared" si="34"/>
        <v/>
      </c>
      <c r="L379" t="str">
        <f t="shared" si="34"/>
        <v/>
      </c>
      <c r="M379" t="b">
        <f t="shared" si="35"/>
        <v>0</v>
      </c>
    </row>
    <row r="380" spans="1:13" ht="15.75" x14ac:dyDescent="0.3">
      <c r="A380" s="2">
        <v>45804</v>
      </c>
      <c r="B380" s="1">
        <v>0</v>
      </c>
      <c r="C380" s="1">
        <v>0</v>
      </c>
      <c r="D380" s="3">
        <f t="shared" si="36"/>
        <v>0</v>
      </c>
      <c r="E380" s="1">
        <v>0</v>
      </c>
      <c r="F380" s="1">
        <v>13556968.50352145</v>
      </c>
      <c r="G380" s="1"/>
      <c r="H380">
        <f t="shared" si="31"/>
        <v>5</v>
      </c>
      <c r="I380" t="str">
        <f t="shared" si="32"/>
        <v/>
      </c>
      <c r="J380" t="str">
        <f t="shared" si="33"/>
        <v/>
      </c>
      <c r="K380" t="str">
        <f t="shared" si="34"/>
        <v/>
      </c>
      <c r="L380" t="str">
        <f t="shared" si="34"/>
        <v/>
      </c>
      <c r="M380" t="b">
        <f t="shared" si="35"/>
        <v>0</v>
      </c>
    </row>
    <row r="381" spans="1:13" ht="15.75" x14ac:dyDescent="0.3">
      <c r="A381" s="2">
        <v>45805</v>
      </c>
      <c r="B381" s="1">
        <v>0</v>
      </c>
      <c r="C381" s="1">
        <v>0</v>
      </c>
      <c r="D381" s="3">
        <f t="shared" si="36"/>
        <v>0</v>
      </c>
      <c r="E381" s="1">
        <v>0</v>
      </c>
      <c r="F381" s="1">
        <v>13416254.58759813</v>
      </c>
      <c r="G381" s="1"/>
      <c r="H381">
        <f t="shared" si="31"/>
        <v>5</v>
      </c>
      <c r="I381" t="str">
        <f t="shared" si="32"/>
        <v/>
      </c>
      <c r="J381" t="str">
        <f t="shared" si="33"/>
        <v/>
      </c>
      <c r="K381" t="str">
        <f t="shared" si="34"/>
        <v/>
      </c>
      <c r="L381" t="str">
        <f t="shared" si="34"/>
        <v/>
      </c>
      <c r="M381" t="b">
        <f t="shared" si="35"/>
        <v>0</v>
      </c>
    </row>
    <row r="382" spans="1:13" ht="15.75" x14ac:dyDescent="0.3">
      <c r="A382" s="2">
        <v>45806</v>
      </c>
      <c r="B382" s="1">
        <v>0</v>
      </c>
      <c r="C382" s="1">
        <v>0</v>
      </c>
      <c r="D382" s="3">
        <f t="shared" si="36"/>
        <v>0</v>
      </c>
      <c r="E382" s="1">
        <v>0</v>
      </c>
      <c r="F382" s="1">
        <v>13560035.75300586</v>
      </c>
      <c r="G382" s="1"/>
      <c r="H382">
        <f t="shared" si="31"/>
        <v>5</v>
      </c>
      <c r="I382" t="str">
        <f t="shared" si="32"/>
        <v/>
      </c>
      <c r="J382" t="str">
        <f t="shared" si="33"/>
        <v/>
      </c>
      <c r="K382" t="str">
        <f t="shared" si="34"/>
        <v/>
      </c>
      <c r="L382" t="str">
        <f t="shared" si="34"/>
        <v/>
      </c>
      <c r="M382" t="b">
        <f t="shared" si="35"/>
        <v>0</v>
      </c>
    </row>
    <row r="383" spans="1:13" ht="15.75" x14ac:dyDescent="0.3">
      <c r="A383" s="2">
        <v>45807</v>
      </c>
      <c r="B383" s="1">
        <v>0</v>
      </c>
      <c r="C383" s="1">
        <v>0</v>
      </c>
      <c r="D383" s="3">
        <f t="shared" si="36"/>
        <v>0</v>
      </c>
      <c r="E383" s="1">
        <v>0</v>
      </c>
      <c r="F383" s="1">
        <v>11335632.06671034</v>
      </c>
      <c r="G383" s="1"/>
      <c r="H383">
        <f t="shared" si="31"/>
        <v>5</v>
      </c>
      <c r="I383">
        <f t="shared" si="32"/>
        <v>0</v>
      </c>
      <c r="J383">
        <f t="shared" si="33"/>
        <v>0</v>
      </c>
      <c r="K383">
        <f t="shared" si="34"/>
        <v>11335632.06671034</v>
      </c>
      <c r="L383">
        <f t="shared" si="34"/>
        <v>0</v>
      </c>
      <c r="M383" t="b">
        <f t="shared" si="35"/>
        <v>1</v>
      </c>
    </row>
    <row r="384" spans="1:13" ht="15.75" x14ac:dyDescent="0.3">
      <c r="A384" s="2">
        <v>45810</v>
      </c>
      <c r="B384" s="1">
        <v>0</v>
      </c>
      <c r="C384" s="1">
        <v>0</v>
      </c>
      <c r="D384" s="3">
        <f t="shared" si="36"/>
        <v>0</v>
      </c>
      <c r="E384" s="1">
        <v>0</v>
      </c>
      <c r="F384" s="1">
        <v>9385187.6378196105</v>
      </c>
      <c r="G384" s="1"/>
      <c r="H384">
        <f t="shared" si="31"/>
        <v>6</v>
      </c>
      <c r="I384" t="str">
        <f t="shared" si="32"/>
        <v/>
      </c>
      <c r="J384" t="str">
        <f t="shared" si="33"/>
        <v/>
      </c>
      <c r="K384" t="str">
        <f t="shared" si="34"/>
        <v/>
      </c>
      <c r="L384" t="str">
        <f t="shared" si="34"/>
        <v/>
      </c>
      <c r="M384" t="b">
        <f t="shared" si="35"/>
        <v>0</v>
      </c>
    </row>
    <row r="385" spans="1:13" ht="15.75" x14ac:dyDescent="0.3">
      <c r="A385" s="2">
        <v>45811</v>
      </c>
      <c r="B385" s="1">
        <v>0</v>
      </c>
      <c r="C385" s="1">
        <v>0</v>
      </c>
      <c r="D385" s="3">
        <f t="shared" si="36"/>
        <v>0</v>
      </c>
      <c r="E385" s="1">
        <v>0</v>
      </c>
      <c r="F385" s="1">
        <v>9883368.9824501164</v>
      </c>
      <c r="G385" s="1"/>
      <c r="H385">
        <f t="shared" si="31"/>
        <v>6</v>
      </c>
      <c r="I385" t="str">
        <f t="shared" si="32"/>
        <v/>
      </c>
      <c r="J385" t="str">
        <f t="shared" si="33"/>
        <v/>
      </c>
      <c r="K385" t="str">
        <f t="shared" si="34"/>
        <v/>
      </c>
      <c r="L385" t="str">
        <f t="shared" si="34"/>
        <v/>
      </c>
      <c r="M385" t="b">
        <f t="shared" si="35"/>
        <v>0</v>
      </c>
    </row>
    <row r="386" spans="1:13" ht="15.75" x14ac:dyDescent="0.3">
      <c r="A386" s="2">
        <v>45812</v>
      </c>
      <c r="B386" s="1">
        <v>0</v>
      </c>
      <c r="C386" s="1">
        <v>0</v>
      </c>
      <c r="D386" s="3">
        <f t="shared" si="36"/>
        <v>0</v>
      </c>
      <c r="E386" s="1">
        <v>0</v>
      </c>
      <c r="F386" s="1">
        <v>9684840.2202547193</v>
      </c>
      <c r="G386" s="1"/>
      <c r="H386">
        <f t="shared" si="31"/>
        <v>6</v>
      </c>
      <c r="I386" t="str">
        <f t="shared" si="32"/>
        <v/>
      </c>
      <c r="J386" t="str">
        <f t="shared" si="33"/>
        <v/>
      </c>
      <c r="K386" t="str">
        <f t="shared" si="34"/>
        <v/>
      </c>
      <c r="L386" t="str">
        <f t="shared" si="34"/>
        <v/>
      </c>
      <c r="M386" t="b">
        <f t="shared" si="35"/>
        <v>0</v>
      </c>
    </row>
    <row r="387" spans="1:13" ht="15.75" x14ac:dyDescent="0.3">
      <c r="A387" s="2">
        <v>45813</v>
      </c>
      <c r="B387" s="1">
        <v>0</v>
      </c>
      <c r="C387" s="1">
        <v>0</v>
      </c>
      <c r="D387" s="3">
        <f t="shared" si="36"/>
        <v>0</v>
      </c>
      <c r="E387" s="1">
        <v>0</v>
      </c>
      <c r="F387" s="1">
        <v>9802536.7831623219</v>
      </c>
      <c r="G387" s="1"/>
      <c r="H387">
        <f t="shared" ref="H387:H450" si="37">+MONTH(A387)</f>
        <v>6</v>
      </c>
      <c r="I387" t="str">
        <f t="shared" ref="I387:I450" si="38">+IF($H387&lt;&gt;$H388,D387,"")</f>
        <v/>
      </c>
      <c r="J387" t="str">
        <f t="shared" ref="J387:J450" si="39">+IF($H387&lt;&gt;$H388,E387,"")</f>
        <v/>
      </c>
      <c r="K387" t="str">
        <f t="shared" ref="K387:L450" si="40">+IF($H387&lt;&gt;$H388,F387,"")</f>
        <v/>
      </c>
      <c r="L387" t="str">
        <f t="shared" si="40"/>
        <v/>
      </c>
      <c r="M387" t="b">
        <f t="shared" ref="M387:M450" si="41">+$H387&lt;&gt;$H388</f>
        <v>0</v>
      </c>
    </row>
    <row r="388" spans="1:13" ht="15.75" x14ac:dyDescent="0.3">
      <c r="A388" s="2">
        <v>45814</v>
      </c>
      <c r="B388" s="1">
        <v>0</v>
      </c>
      <c r="C388" s="1">
        <v>0</v>
      </c>
      <c r="D388" s="3">
        <f t="shared" si="36"/>
        <v>0</v>
      </c>
      <c r="E388" s="1">
        <v>0</v>
      </c>
      <c r="F388" s="1">
        <v>9733871.0198302902</v>
      </c>
      <c r="G388" s="1"/>
      <c r="H388">
        <f t="shared" si="37"/>
        <v>6</v>
      </c>
      <c r="I388" t="str">
        <f t="shared" si="38"/>
        <v/>
      </c>
      <c r="J388" t="str">
        <f t="shared" si="39"/>
        <v/>
      </c>
      <c r="K388" t="str">
        <f t="shared" si="40"/>
        <v/>
      </c>
      <c r="L388" t="str">
        <f t="shared" si="40"/>
        <v/>
      </c>
      <c r="M388" t="b">
        <f t="shared" si="41"/>
        <v>0</v>
      </c>
    </row>
    <row r="389" spans="1:13" ht="15.75" x14ac:dyDescent="0.3">
      <c r="A389" s="2">
        <v>45817</v>
      </c>
      <c r="B389" s="1">
        <v>0</v>
      </c>
      <c r="C389" s="1">
        <v>0</v>
      </c>
      <c r="D389" s="3">
        <f t="shared" si="36"/>
        <v>0</v>
      </c>
      <c r="E389" s="1">
        <v>0</v>
      </c>
      <c r="F389" s="1">
        <v>9815919.8503333069</v>
      </c>
      <c r="G389" s="1"/>
      <c r="H389">
        <f t="shared" si="37"/>
        <v>6</v>
      </c>
      <c r="I389" t="str">
        <f t="shared" si="38"/>
        <v/>
      </c>
      <c r="J389" t="str">
        <f t="shared" si="39"/>
        <v/>
      </c>
      <c r="K389" t="str">
        <f t="shared" si="40"/>
        <v/>
      </c>
      <c r="L389" t="str">
        <f t="shared" si="40"/>
        <v/>
      </c>
      <c r="M389" t="b">
        <f t="shared" si="41"/>
        <v>0</v>
      </c>
    </row>
    <row r="390" spans="1:13" ht="15.75" x14ac:dyDescent="0.3">
      <c r="A390" s="2">
        <v>45818</v>
      </c>
      <c r="B390" s="1">
        <v>0</v>
      </c>
      <c r="C390" s="1">
        <v>0</v>
      </c>
      <c r="D390" s="3">
        <f t="shared" si="36"/>
        <v>0</v>
      </c>
      <c r="E390" s="1">
        <v>0</v>
      </c>
      <c r="F390" s="1">
        <v>10157129.63539432</v>
      </c>
      <c r="G390" s="1"/>
      <c r="H390">
        <f t="shared" si="37"/>
        <v>6</v>
      </c>
      <c r="I390" t="str">
        <f t="shared" si="38"/>
        <v/>
      </c>
      <c r="J390" t="str">
        <f t="shared" si="39"/>
        <v/>
      </c>
      <c r="K390" t="str">
        <f t="shared" si="40"/>
        <v/>
      </c>
      <c r="L390" t="str">
        <f t="shared" si="40"/>
        <v/>
      </c>
      <c r="M390" t="b">
        <f t="shared" si="41"/>
        <v>0</v>
      </c>
    </row>
    <row r="391" spans="1:13" ht="15.75" x14ac:dyDescent="0.3">
      <c r="A391" s="2">
        <v>45819</v>
      </c>
      <c r="B391" s="1">
        <v>0</v>
      </c>
      <c r="C391" s="1">
        <v>0</v>
      </c>
      <c r="D391" s="3">
        <f t="shared" ref="D391:D454" si="42">+B391-C391</f>
        <v>0</v>
      </c>
      <c r="E391" s="1">
        <v>0</v>
      </c>
      <c r="F391" s="1">
        <v>10163117.424627069</v>
      </c>
      <c r="G391" s="1"/>
      <c r="H391">
        <f t="shared" si="37"/>
        <v>6</v>
      </c>
      <c r="I391" t="str">
        <f t="shared" si="38"/>
        <v/>
      </c>
      <c r="J391" t="str">
        <f t="shared" si="39"/>
        <v/>
      </c>
      <c r="K391" t="str">
        <f t="shared" si="40"/>
        <v/>
      </c>
      <c r="L391" t="str">
        <f t="shared" si="40"/>
        <v/>
      </c>
      <c r="M391" t="b">
        <f t="shared" si="41"/>
        <v>0</v>
      </c>
    </row>
    <row r="392" spans="1:13" ht="15.75" x14ac:dyDescent="0.3">
      <c r="A392" s="2">
        <v>45820</v>
      </c>
      <c r="B392" s="1">
        <v>0</v>
      </c>
      <c r="C392" s="1">
        <v>0</v>
      </c>
      <c r="D392" s="3">
        <f t="shared" si="42"/>
        <v>0</v>
      </c>
      <c r="E392" s="1">
        <v>0</v>
      </c>
      <c r="F392" s="1">
        <v>11018652.03048392</v>
      </c>
      <c r="G392" s="1"/>
      <c r="H392">
        <f t="shared" si="37"/>
        <v>6</v>
      </c>
      <c r="I392" t="str">
        <f t="shared" si="38"/>
        <v/>
      </c>
      <c r="J392" t="str">
        <f t="shared" si="39"/>
        <v/>
      </c>
      <c r="K392" t="str">
        <f t="shared" si="40"/>
        <v/>
      </c>
      <c r="L392" t="str">
        <f t="shared" si="40"/>
        <v/>
      </c>
      <c r="M392" t="b">
        <f t="shared" si="41"/>
        <v>0</v>
      </c>
    </row>
    <row r="393" spans="1:13" ht="15.75" x14ac:dyDescent="0.3">
      <c r="A393" s="2">
        <v>45821</v>
      </c>
      <c r="B393" s="1">
        <v>0</v>
      </c>
      <c r="C393" s="1">
        <v>0</v>
      </c>
      <c r="D393" s="3">
        <f t="shared" si="42"/>
        <v>0</v>
      </c>
      <c r="E393" s="1">
        <v>0</v>
      </c>
      <c r="F393" s="1">
        <v>10762414.64689998</v>
      </c>
      <c r="G393" s="1"/>
      <c r="H393">
        <f t="shared" si="37"/>
        <v>6</v>
      </c>
      <c r="I393" t="str">
        <f t="shared" si="38"/>
        <v/>
      </c>
      <c r="J393" t="str">
        <f t="shared" si="39"/>
        <v/>
      </c>
      <c r="K393" t="str">
        <f t="shared" si="40"/>
        <v/>
      </c>
      <c r="L393" t="str">
        <f t="shared" si="40"/>
        <v/>
      </c>
      <c r="M393" t="b">
        <f t="shared" si="41"/>
        <v>0</v>
      </c>
    </row>
    <row r="394" spans="1:13" ht="15.75" x14ac:dyDescent="0.3">
      <c r="A394" s="2">
        <v>45825</v>
      </c>
      <c r="B394" s="1">
        <v>0</v>
      </c>
      <c r="C394" s="1">
        <v>0</v>
      </c>
      <c r="D394" s="3">
        <f t="shared" si="42"/>
        <v>0</v>
      </c>
      <c r="E394" s="1">
        <v>0</v>
      </c>
      <c r="F394" s="1">
        <v>10386986.96778685</v>
      </c>
      <c r="G394" s="1"/>
      <c r="H394">
        <f t="shared" si="37"/>
        <v>6</v>
      </c>
      <c r="I394" t="str">
        <f t="shared" si="38"/>
        <v/>
      </c>
      <c r="J394" t="str">
        <f t="shared" si="39"/>
        <v/>
      </c>
      <c r="K394" t="str">
        <f t="shared" si="40"/>
        <v/>
      </c>
      <c r="L394" t="str">
        <f t="shared" si="40"/>
        <v/>
      </c>
      <c r="M394" t="b">
        <f t="shared" si="41"/>
        <v>0</v>
      </c>
    </row>
    <row r="395" spans="1:13" ht="15.75" x14ac:dyDescent="0.3">
      <c r="A395" s="2">
        <v>45826</v>
      </c>
      <c r="B395" s="1">
        <v>0</v>
      </c>
      <c r="C395" s="1">
        <v>0</v>
      </c>
      <c r="D395" s="3">
        <f t="shared" si="42"/>
        <v>0</v>
      </c>
      <c r="E395" s="1">
        <v>0</v>
      </c>
      <c r="F395" s="1">
        <v>8538369.187784845</v>
      </c>
      <c r="G395" s="1"/>
      <c r="H395">
        <f t="shared" si="37"/>
        <v>6</v>
      </c>
      <c r="I395" t="str">
        <f t="shared" si="38"/>
        <v/>
      </c>
      <c r="J395" t="str">
        <f t="shared" si="39"/>
        <v/>
      </c>
      <c r="K395" t="str">
        <f t="shared" si="40"/>
        <v/>
      </c>
      <c r="L395" t="str">
        <f t="shared" si="40"/>
        <v/>
      </c>
      <c r="M395" t="b">
        <f t="shared" si="41"/>
        <v>0</v>
      </c>
    </row>
    <row r="396" spans="1:13" ht="15.75" x14ac:dyDescent="0.3">
      <c r="A396" s="2">
        <v>45827</v>
      </c>
      <c r="B396" s="1">
        <v>0</v>
      </c>
      <c r="C396" s="1">
        <v>0</v>
      </c>
      <c r="D396" s="3">
        <f t="shared" si="42"/>
        <v>0</v>
      </c>
      <c r="E396" s="1">
        <v>0</v>
      </c>
      <c r="F396" s="1">
        <v>9069547.6411467846</v>
      </c>
      <c r="G396" s="1"/>
      <c r="H396">
        <f t="shared" si="37"/>
        <v>6</v>
      </c>
      <c r="I396" t="str">
        <f t="shared" si="38"/>
        <v/>
      </c>
      <c r="J396" t="str">
        <f t="shared" si="39"/>
        <v/>
      </c>
      <c r="K396" t="str">
        <f t="shared" si="40"/>
        <v/>
      </c>
      <c r="L396" t="str">
        <f t="shared" si="40"/>
        <v/>
      </c>
      <c r="M396" t="b">
        <f t="shared" si="41"/>
        <v>0</v>
      </c>
    </row>
    <row r="397" spans="1:13" ht="15.75" x14ac:dyDescent="0.3">
      <c r="A397" s="2">
        <v>45831</v>
      </c>
      <c r="B397" s="1">
        <v>0</v>
      </c>
      <c r="C397" s="1">
        <v>0</v>
      </c>
      <c r="D397" s="3">
        <f t="shared" si="42"/>
        <v>0</v>
      </c>
      <c r="E397" s="1">
        <v>0</v>
      </c>
      <c r="F397" s="1">
        <v>8954024.5869885273</v>
      </c>
      <c r="G397" s="1"/>
      <c r="H397">
        <f t="shared" si="37"/>
        <v>6</v>
      </c>
      <c r="I397" t="str">
        <f t="shared" si="38"/>
        <v/>
      </c>
      <c r="J397" t="str">
        <f t="shared" si="39"/>
        <v/>
      </c>
      <c r="K397" t="str">
        <f t="shared" si="40"/>
        <v/>
      </c>
      <c r="L397" t="str">
        <f t="shared" si="40"/>
        <v/>
      </c>
      <c r="M397" t="b">
        <f t="shared" si="41"/>
        <v>0</v>
      </c>
    </row>
    <row r="398" spans="1:13" ht="15.75" x14ac:dyDescent="0.3">
      <c r="A398" s="2">
        <v>45832</v>
      </c>
      <c r="B398" s="1">
        <v>0</v>
      </c>
      <c r="C398" s="1">
        <v>0</v>
      </c>
      <c r="D398" s="3">
        <f t="shared" si="42"/>
        <v>0</v>
      </c>
      <c r="E398" s="1">
        <v>0</v>
      </c>
      <c r="F398" s="1">
        <v>8900292.4439661298</v>
      </c>
      <c r="G398" s="1"/>
      <c r="H398">
        <f t="shared" si="37"/>
        <v>6</v>
      </c>
      <c r="I398" t="str">
        <f t="shared" si="38"/>
        <v/>
      </c>
      <c r="J398" t="str">
        <f t="shared" si="39"/>
        <v/>
      </c>
      <c r="K398" t="str">
        <f t="shared" si="40"/>
        <v/>
      </c>
      <c r="L398" t="str">
        <f t="shared" si="40"/>
        <v/>
      </c>
      <c r="M398" t="b">
        <f t="shared" si="41"/>
        <v>0</v>
      </c>
    </row>
    <row r="399" spans="1:13" ht="15.75" x14ac:dyDescent="0.3">
      <c r="A399" s="2">
        <v>45833</v>
      </c>
      <c r="B399" s="1">
        <v>0</v>
      </c>
      <c r="C399" s="1">
        <v>0</v>
      </c>
      <c r="D399" s="3">
        <f t="shared" si="42"/>
        <v>0</v>
      </c>
      <c r="E399" s="1">
        <v>0</v>
      </c>
      <c r="F399" s="1">
        <v>8954808.142382618</v>
      </c>
      <c r="G399" s="1"/>
      <c r="H399">
        <f t="shared" si="37"/>
        <v>6</v>
      </c>
      <c r="I399" t="str">
        <f t="shared" si="38"/>
        <v/>
      </c>
      <c r="J399" t="str">
        <f t="shared" si="39"/>
        <v/>
      </c>
      <c r="K399" t="str">
        <f t="shared" si="40"/>
        <v/>
      </c>
      <c r="L399" t="str">
        <f t="shared" si="40"/>
        <v/>
      </c>
      <c r="M399" t="b">
        <f t="shared" si="41"/>
        <v>0</v>
      </c>
    </row>
    <row r="400" spans="1:13" ht="15.75" x14ac:dyDescent="0.3">
      <c r="A400" s="2">
        <v>45834</v>
      </c>
      <c r="B400" s="1">
        <v>0</v>
      </c>
      <c r="C400" s="1">
        <v>0</v>
      </c>
      <c r="D400" s="3">
        <f t="shared" si="42"/>
        <v>0</v>
      </c>
      <c r="E400" s="1">
        <v>0</v>
      </c>
      <c r="F400" s="1">
        <v>8921704.2862813324</v>
      </c>
      <c r="G400" s="1"/>
      <c r="H400">
        <f t="shared" si="37"/>
        <v>6</v>
      </c>
      <c r="I400" t="str">
        <f t="shared" si="38"/>
        <v/>
      </c>
      <c r="J400" t="str">
        <f t="shared" si="39"/>
        <v/>
      </c>
      <c r="K400" t="str">
        <f t="shared" si="40"/>
        <v/>
      </c>
      <c r="L400" t="str">
        <f t="shared" si="40"/>
        <v/>
      </c>
      <c r="M400" t="b">
        <f t="shared" si="41"/>
        <v>0</v>
      </c>
    </row>
    <row r="401" spans="1:13" ht="15.75" x14ac:dyDescent="0.3">
      <c r="A401" s="2">
        <v>45835</v>
      </c>
      <c r="B401" s="1">
        <v>0</v>
      </c>
      <c r="C401" s="1">
        <v>0</v>
      </c>
      <c r="D401" s="3">
        <f t="shared" si="42"/>
        <v>0</v>
      </c>
      <c r="E401" s="1">
        <v>0</v>
      </c>
      <c r="F401" s="1">
        <v>8348304.8799465299</v>
      </c>
      <c r="G401" s="1"/>
      <c r="H401">
        <f t="shared" si="37"/>
        <v>6</v>
      </c>
      <c r="I401" t="str">
        <f t="shared" si="38"/>
        <v/>
      </c>
      <c r="J401" t="str">
        <f t="shared" si="39"/>
        <v/>
      </c>
      <c r="K401" t="str">
        <f t="shared" si="40"/>
        <v/>
      </c>
      <c r="L401" t="str">
        <f t="shared" si="40"/>
        <v/>
      </c>
      <c r="M401" t="b">
        <f t="shared" si="41"/>
        <v>0</v>
      </c>
    </row>
    <row r="402" spans="1:13" ht="15.75" x14ac:dyDescent="0.3">
      <c r="A402" s="2">
        <v>45838</v>
      </c>
      <c r="B402" s="1">
        <v>0</v>
      </c>
      <c r="C402" s="1">
        <v>0</v>
      </c>
      <c r="D402" s="3">
        <f t="shared" si="42"/>
        <v>0</v>
      </c>
      <c r="E402" s="1">
        <v>0</v>
      </c>
      <c r="F402" s="1">
        <v>11017328.584677219</v>
      </c>
      <c r="G402" s="1"/>
      <c r="H402">
        <f t="shared" si="37"/>
        <v>6</v>
      </c>
      <c r="I402">
        <f t="shared" si="38"/>
        <v>0</v>
      </c>
      <c r="J402">
        <f t="shared" si="39"/>
        <v>0</v>
      </c>
      <c r="K402">
        <f t="shared" si="40"/>
        <v>11017328.584677219</v>
      </c>
      <c r="L402">
        <f t="shared" si="40"/>
        <v>0</v>
      </c>
      <c r="M402" t="b">
        <f t="shared" si="41"/>
        <v>1</v>
      </c>
    </row>
    <row r="403" spans="1:13" ht="15.75" x14ac:dyDescent="0.3">
      <c r="A403" s="2">
        <v>45839</v>
      </c>
      <c r="B403" s="1">
        <v>0</v>
      </c>
      <c r="C403" s="1">
        <v>0</v>
      </c>
      <c r="D403" s="3">
        <f t="shared" si="42"/>
        <v>0</v>
      </c>
      <c r="E403" s="1">
        <v>0</v>
      </c>
      <c r="F403" s="1">
        <v>12656022.52223633</v>
      </c>
      <c r="G403" s="1"/>
      <c r="H403">
        <f t="shared" si="37"/>
        <v>7</v>
      </c>
      <c r="I403" t="str">
        <f t="shared" si="38"/>
        <v/>
      </c>
      <c r="J403" t="str">
        <f t="shared" si="39"/>
        <v/>
      </c>
      <c r="K403" t="str">
        <f t="shared" si="40"/>
        <v/>
      </c>
      <c r="L403" t="str">
        <f t="shared" si="40"/>
        <v/>
      </c>
      <c r="M403" t="b">
        <f t="shared" si="41"/>
        <v>0</v>
      </c>
    </row>
    <row r="404" spans="1:13" ht="15.75" x14ac:dyDescent="0.3">
      <c r="A404" s="2">
        <v>45840</v>
      </c>
      <c r="B404" s="1">
        <v>0</v>
      </c>
      <c r="C404" s="1">
        <v>0</v>
      </c>
      <c r="D404" s="3">
        <f t="shared" si="42"/>
        <v>0</v>
      </c>
      <c r="E404" s="1">
        <v>0</v>
      </c>
      <c r="F404" s="1">
        <v>13847403.58466617</v>
      </c>
      <c r="G404" s="1"/>
      <c r="H404">
        <f t="shared" si="37"/>
        <v>7</v>
      </c>
      <c r="I404" t="str">
        <f t="shared" si="38"/>
        <v/>
      </c>
      <c r="J404" t="str">
        <f t="shared" si="39"/>
        <v/>
      </c>
      <c r="K404" t="str">
        <f t="shared" si="40"/>
        <v/>
      </c>
      <c r="L404" t="str">
        <f t="shared" si="40"/>
        <v/>
      </c>
      <c r="M404" t="b">
        <f t="shared" si="41"/>
        <v>0</v>
      </c>
    </row>
    <row r="405" spans="1:13" ht="15.75" x14ac:dyDescent="0.3">
      <c r="A405" s="2">
        <v>45841</v>
      </c>
      <c r="B405" s="1">
        <v>0</v>
      </c>
      <c r="C405" s="1">
        <v>0</v>
      </c>
      <c r="D405" s="3">
        <f t="shared" si="42"/>
        <v>0</v>
      </c>
      <c r="E405" s="1">
        <v>0</v>
      </c>
      <c r="F405" s="1">
        <v>15110485.79627751</v>
      </c>
      <c r="G405" s="1"/>
      <c r="H405">
        <f t="shared" si="37"/>
        <v>7</v>
      </c>
      <c r="I405" t="str">
        <f t="shared" si="38"/>
        <v/>
      </c>
      <c r="J405" t="str">
        <f t="shared" si="39"/>
        <v/>
      </c>
      <c r="K405" t="str">
        <f t="shared" si="40"/>
        <v/>
      </c>
      <c r="L405" t="str">
        <f t="shared" si="40"/>
        <v/>
      </c>
      <c r="M405" t="b">
        <f t="shared" si="41"/>
        <v>0</v>
      </c>
    </row>
    <row r="406" spans="1:13" ht="15.75" x14ac:dyDescent="0.3">
      <c r="A406" s="2">
        <v>45842</v>
      </c>
      <c r="B406" s="1">
        <v>0</v>
      </c>
      <c r="C406" s="1">
        <v>0</v>
      </c>
      <c r="D406" s="3">
        <f t="shared" si="42"/>
        <v>0</v>
      </c>
      <c r="E406" s="1">
        <v>0</v>
      </c>
      <c r="F406" s="1">
        <v>15811423.94046383</v>
      </c>
      <c r="G406" s="1"/>
      <c r="H406">
        <f t="shared" si="37"/>
        <v>7</v>
      </c>
      <c r="I406" t="str">
        <f t="shared" si="38"/>
        <v/>
      </c>
      <c r="J406" t="str">
        <f t="shared" si="39"/>
        <v/>
      </c>
      <c r="K406" t="str">
        <f t="shared" si="40"/>
        <v/>
      </c>
      <c r="L406" t="str">
        <f t="shared" si="40"/>
        <v/>
      </c>
      <c r="M406" t="b">
        <f t="shared" si="41"/>
        <v>0</v>
      </c>
    </row>
    <row r="407" spans="1:13" ht="15.75" x14ac:dyDescent="0.3">
      <c r="A407" s="2">
        <v>45845</v>
      </c>
      <c r="B407" s="1">
        <v>0</v>
      </c>
      <c r="C407" s="1">
        <v>0</v>
      </c>
      <c r="D407" s="3">
        <f t="shared" si="42"/>
        <v>0</v>
      </c>
      <c r="E407" s="1">
        <v>0</v>
      </c>
      <c r="F407" s="1">
        <v>14185629.20918688</v>
      </c>
      <c r="G407" s="1"/>
      <c r="H407">
        <f t="shared" si="37"/>
        <v>7</v>
      </c>
      <c r="I407" t="str">
        <f t="shared" si="38"/>
        <v/>
      </c>
      <c r="J407" t="str">
        <f t="shared" si="39"/>
        <v/>
      </c>
      <c r="K407" t="str">
        <f t="shared" si="40"/>
        <v/>
      </c>
      <c r="L407" t="str">
        <f t="shared" si="40"/>
        <v/>
      </c>
      <c r="M407" t="b">
        <f t="shared" si="41"/>
        <v>0</v>
      </c>
    </row>
    <row r="408" spans="1:13" ht="15.75" x14ac:dyDescent="0.3">
      <c r="A408" s="2">
        <v>45846</v>
      </c>
      <c r="B408" s="1">
        <v>0</v>
      </c>
      <c r="C408" s="1">
        <v>0</v>
      </c>
      <c r="D408" s="3">
        <f t="shared" si="42"/>
        <v>0</v>
      </c>
      <c r="E408" s="1">
        <v>0</v>
      </c>
      <c r="F408" s="1">
        <v>15494780.06225846</v>
      </c>
      <c r="G408" s="1"/>
      <c r="H408">
        <f t="shared" si="37"/>
        <v>7</v>
      </c>
      <c r="I408" t="str">
        <f t="shared" si="38"/>
        <v/>
      </c>
      <c r="J408" t="str">
        <f t="shared" si="39"/>
        <v/>
      </c>
      <c r="K408" t="str">
        <f t="shared" si="40"/>
        <v/>
      </c>
      <c r="L408" t="str">
        <f t="shared" si="40"/>
        <v/>
      </c>
      <c r="M408" t="b">
        <f t="shared" si="41"/>
        <v>0</v>
      </c>
    </row>
    <row r="409" spans="1:13" ht="15.75" x14ac:dyDescent="0.3">
      <c r="A409" s="2">
        <v>45848</v>
      </c>
      <c r="B409" s="1">
        <v>0</v>
      </c>
      <c r="C409" s="1">
        <v>0</v>
      </c>
      <c r="D409" s="3">
        <f t="shared" si="42"/>
        <v>0</v>
      </c>
      <c r="E409" s="1">
        <v>0</v>
      </c>
      <c r="F409" s="1">
        <v>0</v>
      </c>
      <c r="G409" s="1"/>
      <c r="H409">
        <f t="shared" si="37"/>
        <v>7</v>
      </c>
      <c r="I409" t="str">
        <f t="shared" si="38"/>
        <v/>
      </c>
      <c r="J409" t="str">
        <f t="shared" si="39"/>
        <v/>
      </c>
      <c r="K409" t="str">
        <f t="shared" si="40"/>
        <v/>
      </c>
      <c r="L409" t="str">
        <f t="shared" si="40"/>
        <v/>
      </c>
      <c r="M409" t="b">
        <f t="shared" si="41"/>
        <v>0</v>
      </c>
    </row>
    <row r="410" spans="1:13" ht="15.75" x14ac:dyDescent="0.3">
      <c r="A410" s="2">
        <v>45849</v>
      </c>
      <c r="B410" s="1">
        <v>0</v>
      </c>
      <c r="C410" s="1">
        <v>0</v>
      </c>
      <c r="D410" s="3">
        <f t="shared" si="42"/>
        <v>0</v>
      </c>
      <c r="E410" s="1">
        <v>0</v>
      </c>
      <c r="F410" s="1">
        <v>0</v>
      </c>
      <c r="G410" s="1"/>
      <c r="H410">
        <f t="shared" si="37"/>
        <v>7</v>
      </c>
      <c r="I410" t="str">
        <f t="shared" si="38"/>
        <v/>
      </c>
      <c r="J410" t="str">
        <f t="shared" si="39"/>
        <v/>
      </c>
      <c r="K410" t="str">
        <f t="shared" si="40"/>
        <v/>
      </c>
      <c r="L410" t="str">
        <f t="shared" si="40"/>
        <v/>
      </c>
      <c r="M410" t="b">
        <f t="shared" si="41"/>
        <v>0</v>
      </c>
    </row>
    <row r="411" spans="1:13" ht="15.75" x14ac:dyDescent="0.3">
      <c r="A411" s="2">
        <v>45852</v>
      </c>
      <c r="B411" s="1">
        <v>0</v>
      </c>
      <c r="C411" s="1">
        <v>0</v>
      </c>
      <c r="D411" s="3">
        <f t="shared" si="42"/>
        <v>0</v>
      </c>
      <c r="E411" s="1">
        <v>0</v>
      </c>
      <c r="F411" s="1">
        <v>0</v>
      </c>
      <c r="G411" s="1"/>
      <c r="H411">
        <f t="shared" si="37"/>
        <v>7</v>
      </c>
      <c r="I411" t="str">
        <f t="shared" si="38"/>
        <v/>
      </c>
      <c r="J411" t="str">
        <f t="shared" si="39"/>
        <v/>
      </c>
      <c r="K411" t="str">
        <f t="shared" si="40"/>
        <v/>
      </c>
      <c r="L411" t="str">
        <f t="shared" si="40"/>
        <v/>
      </c>
      <c r="M411" t="b">
        <f t="shared" si="41"/>
        <v>0</v>
      </c>
    </row>
    <row r="412" spans="1:13" ht="15.75" x14ac:dyDescent="0.3">
      <c r="A412" s="2">
        <v>45853</v>
      </c>
      <c r="B412" s="1">
        <v>0</v>
      </c>
      <c r="C412" s="1">
        <v>0</v>
      </c>
      <c r="D412" s="3">
        <f t="shared" si="42"/>
        <v>0</v>
      </c>
      <c r="E412" s="1">
        <v>0</v>
      </c>
      <c r="F412" s="1">
        <v>0</v>
      </c>
      <c r="G412" s="1">
        <v>3523597.400609449</v>
      </c>
      <c r="H412">
        <f t="shared" si="37"/>
        <v>7</v>
      </c>
      <c r="I412" t="str">
        <f t="shared" si="38"/>
        <v/>
      </c>
      <c r="J412" t="str">
        <f t="shared" si="39"/>
        <v/>
      </c>
      <c r="K412" t="str">
        <f t="shared" si="40"/>
        <v/>
      </c>
      <c r="L412" t="str">
        <f t="shared" si="40"/>
        <v/>
      </c>
      <c r="M412" t="b">
        <f t="shared" si="41"/>
        <v>0</v>
      </c>
    </row>
    <row r="413" spans="1:13" ht="15.75" x14ac:dyDescent="0.3">
      <c r="A413" s="2">
        <v>45854</v>
      </c>
      <c r="B413" s="1">
        <v>0</v>
      </c>
      <c r="C413" s="1">
        <v>0</v>
      </c>
      <c r="D413" s="3">
        <f t="shared" si="42"/>
        <v>0</v>
      </c>
      <c r="E413" s="1">
        <v>0</v>
      </c>
      <c r="F413" s="1">
        <v>0</v>
      </c>
      <c r="G413" s="1">
        <v>3226370.3483860181</v>
      </c>
      <c r="H413">
        <f t="shared" si="37"/>
        <v>7</v>
      </c>
      <c r="I413" t="str">
        <f t="shared" si="38"/>
        <v/>
      </c>
      <c r="J413" t="str">
        <f t="shared" si="39"/>
        <v/>
      </c>
      <c r="K413" t="str">
        <f t="shared" si="40"/>
        <v/>
      </c>
      <c r="L413" t="str">
        <f t="shared" si="40"/>
        <v/>
      </c>
      <c r="M413" t="b">
        <f t="shared" si="41"/>
        <v>0</v>
      </c>
    </row>
    <row r="414" spans="1:13" ht="15.75" x14ac:dyDescent="0.3">
      <c r="A414" s="2">
        <v>45855</v>
      </c>
      <c r="B414" s="1">
        <v>0</v>
      </c>
      <c r="C414" s="1">
        <v>0</v>
      </c>
      <c r="D414" s="3">
        <f t="shared" si="42"/>
        <v>0</v>
      </c>
      <c r="E414" s="1">
        <v>0</v>
      </c>
      <c r="F414" s="1">
        <v>0</v>
      </c>
      <c r="G414" s="1">
        <v>393823.6848290083</v>
      </c>
      <c r="H414">
        <f t="shared" si="37"/>
        <v>7</v>
      </c>
      <c r="I414" t="str">
        <f t="shared" si="38"/>
        <v/>
      </c>
      <c r="J414" t="str">
        <f t="shared" si="39"/>
        <v/>
      </c>
      <c r="K414" t="str">
        <f t="shared" si="40"/>
        <v/>
      </c>
      <c r="L414" t="str">
        <f t="shared" si="40"/>
        <v/>
      </c>
      <c r="M414" t="b">
        <f t="shared" si="41"/>
        <v>0</v>
      </c>
    </row>
    <row r="415" spans="1:13" ht="15.75" x14ac:dyDescent="0.3">
      <c r="A415" s="2">
        <v>45856</v>
      </c>
      <c r="B415" s="1">
        <v>0</v>
      </c>
      <c r="C415" s="1">
        <v>0</v>
      </c>
      <c r="D415" s="3">
        <f t="shared" si="42"/>
        <v>0</v>
      </c>
      <c r="E415" s="1">
        <v>0</v>
      </c>
      <c r="F415" s="1">
        <v>0</v>
      </c>
      <c r="G415" s="1">
        <v>2.9038346838206049E-5</v>
      </c>
      <c r="H415">
        <f t="shared" si="37"/>
        <v>7</v>
      </c>
      <c r="I415" t="str">
        <f t="shared" si="38"/>
        <v/>
      </c>
      <c r="J415" t="str">
        <f t="shared" si="39"/>
        <v/>
      </c>
      <c r="K415" t="str">
        <f t="shared" si="40"/>
        <v/>
      </c>
      <c r="L415" t="str">
        <f t="shared" si="40"/>
        <v/>
      </c>
      <c r="M415" t="b">
        <f t="shared" si="41"/>
        <v>0</v>
      </c>
    </row>
    <row r="416" spans="1:13" ht="15.75" x14ac:dyDescent="0.3">
      <c r="A416" s="2">
        <v>45859</v>
      </c>
      <c r="B416" s="1">
        <v>0</v>
      </c>
      <c r="C416" s="1">
        <v>0</v>
      </c>
      <c r="D416" s="3">
        <f t="shared" si="42"/>
        <v>0</v>
      </c>
      <c r="E416" s="1">
        <v>0</v>
      </c>
      <c r="F416" s="1">
        <v>0</v>
      </c>
      <c r="G416" s="1">
        <v>2.9038346838206049E-5</v>
      </c>
      <c r="H416">
        <f t="shared" si="37"/>
        <v>7</v>
      </c>
      <c r="I416" t="str">
        <f t="shared" si="38"/>
        <v/>
      </c>
      <c r="J416" t="str">
        <f t="shared" si="39"/>
        <v/>
      </c>
      <c r="K416" t="str">
        <f t="shared" si="40"/>
        <v/>
      </c>
      <c r="L416" t="str">
        <f t="shared" si="40"/>
        <v/>
      </c>
      <c r="M416" t="b">
        <f t="shared" si="41"/>
        <v>0</v>
      </c>
    </row>
    <row r="417" spans="1:13" ht="15.75" x14ac:dyDescent="0.3">
      <c r="A417" s="2">
        <v>45860</v>
      </c>
      <c r="B417" s="1">
        <v>0</v>
      </c>
      <c r="C417" s="1">
        <v>0</v>
      </c>
      <c r="D417" s="3">
        <f t="shared" si="42"/>
        <v>0</v>
      </c>
      <c r="E417" s="1">
        <v>0</v>
      </c>
      <c r="F417" s="1">
        <v>0</v>
      </c>
      <c r="G417" s="1">
        <v>2.9038346838206049E-5</v>
      </c>
      <c r="H417">
        <f t="shared" si="37"/>
        <v>7</v>
      </c>
      <c r="I417" t="str">
        <f t="shared" si="38"/>
        <v/>
      </c>
      <c r="J417" t="str">
        <f t="shared" si="39"/>
        <v/>
      </c>
      <c r="K417" t="str">
        <f t="shared" si="40"/>
        <v/>
      </c>
      <c r="L417" t="str">
        <f t="shared" si="40"/>
        <v/>
      </c>
      <c r="M417" t="b">
        <f t="shared" si="41"/>
        <v>0</v>
      </c>
    </row>
    <row r="418" spans="1:13" ht="15.75" x14ac:dyDescent="0.3">
      <c r="A418" s="2">
        <v>45861</v>
      </c>
      <c r="B418" s="1">
        <v>0</v>
      </c>
      <c r="C418" s="1">
        <v>0</v>
      </c>
      <c r="D418" s="3">
        <f t="shared" si="42"/>
        <v>0</v>
      </c>
      <c r="E418" s="1">
        <v>0</v>
      </c>
      <c r="F418" s="1">
        <v>0</v>
      </c>
      <c r="G418" s="1">
        <v>2.9038346838206049E-5</v>
      </c>
      <c r="H418">
        <f t="shared" si="37"/>
        <v>7</v>
      </c>
      <c r="I418" t="str">
        <f t="shared" si="38"/>
        <v/>
      </c>
      <c r="J418" t="str">
        <f t="shared" si="39"/>
        <v/>
      </c>
      <c r="K418" t="str">
        <f t="shared" si="40"/>
        <v/>
      </c>
      <c r="L418" t="str">
        <f t="shared" si="40"/>
        <v/>
      </c>
      <c r="M418" t="b">
        <f t="shared" si="41"/>
        <v>0</v>
      </c>
    </row>
    <row r="419" spans="1:13" ht="15.75" x14ac:dyDescent="0.3">
      <c r="A419" s="2">
        <v>45862</v>
      </c>
      <c r="B419" s="1">
        <v>0</v>
      </c>
      <c r="C419" s="1">
        <v>0</v>
      </c>
      <c r="D419" s="3">
        <f t="shared" si="42"/>
        <v>0</v>
      </c>
      <c r="E419" s="1">
        <v>0</v>
      </c>
      <c r="F419" s="1">
        <v>0</v>
      </c>
      <c r="G419" s="1">
        <v>2.9038346838206049E-5</v>
      </c>
      <c r="H419">
        <f t="shared" si="37"/>
        <v>7</v>
      </c>
      <c r="I419" t="str">
        <f t="shared" si="38"/>
        <v/>
      </c>
      <c r="J419" t="str">
        <f t="shared" si="39"/>
        <v/>
      </c>
      <c r="K419" t="str">
        <f t="shared" si="40"/>
        <v/>
      </c>
      <c r="L419" t="str">
        <f t="shared" si="40"/>
        <v/>
      </c>
      <c r="M419" t="b">
        <f t="shared" si="41"/>
        <v>0</v>
      </c>
    </row>
    <row r="420" spans="1:13" ht="15.75" x14ac:dyDescent="0.3">
      <c r="A420" s="2">
        <v>45863</v>
      </c>
      <c r="B420" s="1">
        <v>0</v>
      </c>
      <c r="C420" s="1">
        <v>0</v>
      </c>
      <c r="D420" s="3">
        <f t="shared" si="42"/>
        <v>0</v>
      </c>
      <c r="E420" s="1">
        <v>0</v>
      </c>
      <c r="F420" s="1">
        <v>0</v>
      </c>
      <c r="G420" s="1">
        <v>477121.75097903842</v>
      </c>
      <c r="H420">
        <f t="shared" si="37"/>
        <v>7</v>
      </c>
      <c r="I420" t="str">
        <f t="shared" si="38"/>
        <v/>
      </c>
      <c r="J420" t="str">
        <f t="shared" si="39"/>
        <v/>
      </c>
      <c r="K420" t="str">
        <f t="shared" si="40"/>
        <v/>
      </c>
      <c r="L420" t="str">
        <f t="shared" si="40"/>
        <v/>
      </c>
      <c r="M420" t="b">
        <f t="shared" si="41"/>
        <v>0</v>
      </c>
    </row>
    <row r="421" spans="1:13" ht="15.75" x14ac:dyDescent="0.3">
      <c r="A421" s="2">
        <v>45866</v>
      </c>
      <c r="B421" s="1">
        <v>0</v>
      </c>
      <c r="C421" s="1">
        <v>0</v>
      </c>
      <c r="D421" s="3">
        <f t="shared" si="42"/>
        <v>0</v>
      </c>
      <c r="E421" s="1">
        <v>0</v>
      </c>
      <c r="F421" s="1">
        <v>0</v>
      </c>
      <c r="G421" s="1">
        <v>1479753.7008510679</v>
      </c>
      <c r="H421">
        <f t="shared" si="37"/>
        <v>7</v>
      </c>
      <c r="I421" t="str">
        <f t="shared" si="38"/>
        <v/>
      </c>
      <c r="J421" t="str">
        <f t="shared" si="39"/>
        <v/>
      </c>
      <c r="K421" t="str">
        <f t="shared" si="40"/>
        <v/>
      </c>
      <c r="L421" t="str">
        <f t="shared" si="40"/>
        <v/>
      </c>
      <c r="M421" t="b">
        <f t="shared" si="41"/>
        <v>0</v>
      </c>
    </row>
    <row r="422" spans="1:13" ht="15.75" x14ac:dyDescent="0.3">
      <c r="A422" s="2">
        <v>45867</v>
      </c>
      <c r="B422" s="1">
        <v>0</v>
      </c>
      <c r="C422" s="1">
        <v>0</v>
      </c>
      <c r="D422" s="3">
        <f t="shared" si="42"/>
        <v>0</v>
      </c>
      <c r="E422" s="1">
        <v>0</v>
      </c>
      <c r="F422" s="1">
        <v>0</v>
      </c>
      <c r="G422" s="1">
        <v>2.914853394031525E-5</v>
      </c>
      <c r="H422">
        <f t="shared" si="37"/>
        <v>7</v>
      </c>
      <c r="I422" t="str">
        <f t="shared" si="38"/>
        <v/>
      </c>
      <c r="J422" t="str">
        <f t="shared" si="39"/>
        <v/>
      </c>
      <c r="K422" t="str">
        <f t="shared" si="40"/>
        <v/>
      </c>
      <c r="L422" t="str">
        <f t="shared" si="40"/>
        <v/>
      </c>
      <c r="M422" t="b">
        <f t="shared" si="41"/>
        <v>0</v>
      </c>
    </row>
    <row r="423" spans="1:13" ht="15.75" x14ac:dyDescent="0.3">
      <c r="A423" s="2">
        <v>45868</v>
      </c>
      <c r="B423" s="1">
        <v>0</v>
      </c>
      <c r="C423" s="1">
        <v>0</v>
      </c>
      <c r="D423" s="3">
        <f t="shared" si="42"/>
        <v>0</v>
      </c>
      <c r="E423" s="1">
        <v>0</v>
      </c>
      <c r="F423" s="1">
        <v>0</v>
      </c>
      <c r="G423" s="1">
        <v>1069806.4937421479</v>
      </c>
      <c r="H423">
        <f t="shared" si="37"/>
        <v>7</v>
      </c>
      <c r="I423" t="str">
        <f t="shared" si="38"/>
        <v/>
      </c>
      <c r="J423" t="str">
        <f t="shared" si="39"/>
        <v/>
      </c>
      <c r="K423" t="str">
        <f t="shared" si="40"/>
        <v/>
      </c>
      <c r="L423" t="str">
        <f t="shared" si="40"/>
        <v/>
      </c>
      <c r="M423" t="b">
        <f t="shared" si="41"/>
        <v>0</v>
      </c>
    </row>
    <row r="424" spans="1:13" ht="15.75" x14ac:dyDescent="0.3">
      <c r="A424" s="2">
        <v>45869</v>
      </c>
      <c r="B424" s="1">
        <v>0</v>
      </c>
      <c r="C424" s="1">
        <v>0</v>
      </c>
      <c r="D424" s="3">
        <f t="shared" si="42"/>
        <v>0</v>
      </c>
      <c r="E424" s="1">
        <v>0</v>
      </c>
      <c r="F424" s="1">
        <v>0</v>
      </c>
      <c r="G424" s="1">
        <v>1732977.3</v>
      </c>
      <c r="H424">
        <f t="shared" si="37"/>
        <v>7</v>
      </c>
      <c r="I424">
        <f t="shared" si="38"/>
        <v>0</v>
      </c>
      <c r="J424">
        <f t="shared" si="39"/>
        <v>0</v>
      </c>
      <c r="K424">
        <f t="shared" si="40"/>
        <v>0</v>
      </c>
      <c r="L424">
        <f t="shared" si="40"/>
        <v>1732977.3</v>
      </c>
      <c r="M424" t="b">
        <f t="shared" si="41"/>
        <v>1</v>
      </c>
    </row>
    <row r="425" spans="1:13" ht="15.75" x14ac:dyDescent="0.3">
      <c r="A425" s="2">
        <v>45870</v>
      </c>
      <c r="B425" s="1">
        <v>0</v>
      </c>
      <c r="C425" s="1">
        <v>0</v>
      </c>
      <c r="D425" s="3">
        <f t="shared" si="42"/>
        <v>0</v>
      </c>
      <c r="E425" s="1">
        <v>0</v>
      </c>
      <c r="F425" s="1">
        <v>0</v>
      </c>
      <c r="G425" s="1">
        <v>721347.05238662846</v>
      </c>
      <c r="H425">
        <f t="shared" si="37"/>
        <v>8</v>
      </c>
      <c r="I425" t="str">
        <f t="shared" si="38"/>
        <v/>
      </c>
      <c r="J425" t="str">
        <f t="shared" si="39"/>
        <v/>
      </c>
      <c r="K425" t="str">
        <f t="shared" si="40"/>
        <v/>
      </c>
      <c r="L425" t="str">
        <f t="shared" si="40"/>
        <v/>
      </c>
      <c r="M425" t="b">
        <f t="shared" si="41"/>
        <v>0</v>
      </c>
    </row>
    <row r="426" spans="1:13" ht="15.75" x14ac:dyDescent="0.3">
      <c r="A426" s="2">
        <v>45873</v>
      </c>
      <c r="B426" s="1">
        <v>0</v>
      </c>
      <c r="C426" s="1">
        <v>0</v>
      </c>
      <c r="D426" s="3">
        <f t="shared" si="42"/>
        <v>0</v>
      </c>
      <c r="E426" s="1">
        <v>0</v>
      </c>
      <c r="F426" s="1">
        <v>0</v>
      </c>
      <c r="G426" s="1">
        <v>-11543.180970711481</v>
      </c>
      <c r="H426">
        <f t="shared" si="37"/>
        <v>8</v>
      </c>
      <c r="I426" t="str">
        <f t="shared" si="38"/>
        <v/>
      </c>
      <c r="J426" t="str">
        <f t="shared" si="39"/>
        <v/>
      </c>
      <c r="K426" t="str">
        <f t="shared" si="40"/>
        <v/>
      </c>
      <c r="L426" t="str">
        <f t="shared" si="40"/>
        <v/>
      </c>
      <c r="M426" t="b">
        <f t="shared" si="41"/>
        <v>0</v>
      </c>
    </row>
    <row r="427" spans="1:13" ht="15.75" x14ac:dyDescent="0.3">
      <c r="A427" s="2">
        <v>45874</v>
      </c>
      <c r="B427" s="1">
        <v>0</v>
      </c>
      <c r="C427" s="1">
        <v>0</v>
      </c>
      <c r="D427" s="3">
        <f t="shared" si="42"/>
        <v>0</v>
      </c>
      <c r="E427" s="1">
        <v>0</v>
      </c>
      <c r="F427" s="1">
        <v>0</v>
      </c>
      <c r="G427" s="1">
        <v>2.9288523364812139E-5</v>
      </c>
      <c r="H427">
        <f t="shared" si="37"/>
        <v>8</v>
      </c>
      <c r="I427" t="str">
        <f t="shared" si="38"/>
        <v/>
      </c>
      <c r="J427" t="str">
        <f t="shared" si="39"/>
        <v/>
      </c>
      <c r="K427" t="str">
        <f t="shared" si="40"/>
        <v/>
      </c>
      <c r="L427" t="str">
        <f t="shared" si="40"/>
        <v/>
      </c>
      <c r="M427" t="b">
        <f t="shared" si="41"/>
        <v>0</v>
      </c>
    </row>
    <row r="428" spans="1:13" ht="15.75" x14ac:dyDescent="0.3">
      <c r="A428" s="2">
        <v>45875</v>
      </c>
      <c r="B428" s="1">
        <v>0</v>
      </c>
      <c r="C428" s="1">
        <v>0</v>
      </c>
      <c r="D428" s="3">
        <f t="shared" si="42"/>
        <v>0</v>
      </c>
      <c r="E428" s="1">
        <v>0</v>
      </c>
      <c r="F428" s="1">
        <v>0</v>
      </c>
      <c r="G428" s="1">
        <v>2.9288523364812139E-5</v>
      </c>
      <c r="H428">
        <f t="shared" si="37"/>
        <v>8</v>
      </c>
      <c r="I428" t="str">
        <f t="shared" si="38"/>
        <v/>
      </c>
      <c r="J428" t="str">
        <f t="shared" si="39"/>
        <v/>
      </c>
      <c r="K428" t="str">
        <f t="shared" si="40"/>
        <v/>
      </c>
      <c r="L428" t="str">
        <f t="shared" si="40"/>
        <v/>
      </c>
      <c r="M428" t="b">
        <f t="shared" si="41"/>
        <v>0</v>
      </c>
    </row>
    <row r="429" spans="1:13" ht="15.75" x14ac:dyDescent="0.3">
      <c r="A429" s="2">
        <v>45876</v>
      </c>
      <c r="B429" s="1">
        <v>0</v>
      </c>
      <c r="C429" s="1">
        <v>0</v>
      </c>
      <c r="D429" s="3">
        <f t="shared" si="42"/>
        <v>0</v>
      </c>
      <c r="E429" s="1">
        <v>0</v>
      </c>
      <c r="F429" s="1">
        <v>0</v>
      </c>
      <c r="G429" s="1">
        <v>2.9288523364812139E-5</v>
      </c>
      <c r="H429">
        <f t="shared" si="37"/>
        <v>8</v>
      </c>
      <c r="I429" t="str">
        <f t="shared" si="38"/>
        <v/>
      </c>
      <c r="J429" t="str">
        <f t="shared" si="39"/>
        <v/>
      </c>
      <c r="K429" t="str">
        <f t="shared" si="40"/>
        <v/>
      </c>
      <c r="L429" t="str">
        <f t="shared" si="40"/>
        <v/>
      </c>
      <c r="M429" t="b">
        <f t="shared" si="41"/>
        <v>0</v>
      </c>
    </row>
    <row r="430" spans="1:13" ht="15.75" x14ac:dyDescent="0.3">
      <c r="A430" s="2">
        <v>45877</v>
      </c>
      <c r="B430" s="1">
        <v>0</v>
      </c>
      <c r="C430" s="1">
        <v>0</v>
      </c>
      <c r="D430" s="3">
        <f t="shared" si="42"/>
        <v>0</v>
      </c>
      <c r="E430" s="1">
        <v>0</v>
      </c>
      <c r="F430" s="1">
        <v>0</v>
      </c>
      <c r="G430" s="1">
        <v>2.9288523364812139E-5</v>
      </c>
      <c r="H430">
        <f t="shared" si="37"/>
        <v>8</v>
      </c>
      <c r="I430" t="str">
        <f t="shared" si="38"/>
        <v/>
      </c>
      <c r="J430" t="str">
        <f t="shared" si="39"/>
        <v/>
      </c>
      <c r="K430" t="str">
        <f t="shared" si="40"/>
        <v/>
      </c>
      <c r="L430" t="str">
        <f t="shared" si="40"/>
        <v/>
      </c>
      <c r="M430" t="b">
        <f t="shared" si="41"/>
        <v>0</v>
      </c>
    </row>
    <row r="431" spans="1:13" ht="15.75" x14ac:dyDescent="0.3">
      <c r="A431" s="2">
        <v>45880</v>
      </c>
      <c r="B431" s="1">
        <v>0</v>
      </c>
      <c r="C431" s="1">
        <v>0</v>
      </c>
      <c r="D431" s="3">
        <f t="shared" si="42"/>
        <v>0</v>
      </c>
      <c r="E431" s="1">
        <v>0</v>
      </c>
      <c r="F431" s="1">
        <v>0</v>
      </c>
      <c r="G431" s="1">
        <v>2.9288523364812139E-5</v>
      </c>
      <c r="H431">
        <f t="shared" si="37"/>
        <v>8</v>
      </c>
      <c r="I431" t="str">
        <f t="shared" si="38"/>
        <v/>
      </c>
      <c r="J431" t="str">
        <f t="shared" si="39"/>
        <v/>
      </c>
      <c r="K431" t="str">
        <f t="shared" si="40"/>
        <v/>
      </c>
      <c r="L431" t="str">
        <f t="shared" si="40"/>
        <v/>
      </c>
      <c r="M431" t="b">
        <f t="shared" si="41"/>
        <v>0</v>
      </c>
    </row>
    <row r="432" spans="1:13" ht="15.75" x14ac:dyDescent="0.3">
      <c r="A432" s="2">
        <v>45881</v>
      </c>
      <c r="B432" s="1">
        <v>0</v>
      </c>
      <c r="C432" s="1">
        <v>0</v>
      </c>
      <c r="D432" s="3">
        <f t="shared" si="42"/>
        <v>0</v>
      </c>
      <c r="E432" s="1">
        <v>0</v>
      </c>
      <c r="F432" s="1">
        <v>0</v>
      </c>
      <c r="G432" s="1">
        <v>2.9288523364812139E-5</v>
      </c>
      <c r="H432">
        <f t="shared" si="37"/>
        <v>8</v>
      </c>
      <c r="I432" t="str">
        <f t="shared" si="38"/>
        <v/>
      </c>
      <c r="J432" t="str">
        <f t="shared" si="39"/>
        <v/>
      </c>
      <c r="K432" t="str">
        <f t="shared" si="40"/>
        <v/>
      </c>
      <c r="L432" t="str">
        <f t="shared" si="40"/>
        <v/>
      </c>
      <c r="M432" t="b">
        <f t="shared" si="41"/>
        <v>0</v>
      </c>
    </row>
    <row r="433" spans="1:13" ht="15.75" x14ac:dyDescent="0.3">
      <c r="A433" s="2">
        <v>45882</v>
      </c>
      <c r="B433" s="1">
        <v>0</v>
      </c>
      <c r="C433" s="1">
        <v>0</v>
      </c>
      <c r="D433" s="3">
        <f t="shared" si="42"/>
        <v>0</v>
      </c>
      <c r="E433" s="1">
        <v>0</v>
      </c>
      <c r="F433" s="1">
        <v>0</v>
      </c>
      <c r="G433" s="1">
        <v>2.9288523364812139E-5</v>
      </c>
      <c r="H433">
        <f t="shared" si="37"/>
        <v>8</v>
      </c>
      <c r="I433" t="str">
        <f t="shared" si="38"/>
        <v/>
      </c>
      <c r="J433" t="str">
        <f t="shared" si="39"/>
        <v/>
      </c>
      <c r="K433" t="str">
        <f t="shared" si="40"/>
        <v/>
      </c>
      <c r="L433" t="str">
        <f t="shared" si="40"/>
        <v/>
      </c>
      <c r="M433" t="b">
        <f t="shared" si="41"/>
        <v>0</v>
      </c>
    </row>
    <row r="434" spans="1:13" ht="15.75" x14ac:dyDescent="0.3">
      <c r="A434" s="2">
        <v>45883</v>
      </c>
      <c r="B434" s="1">
        <v>0</v>
      </c>
      <c r="C434" s="1">
        <v>0</v>
      </c>
      <c r="D434" s="3">
        <f t="shared" si="42"/>
        <v>0</v>
      </c>
      <c r="E434" s="1">
        <v>0</v>
      </c>
      <c r="F434" s="1">
        <v>0</v>
      </c>
      <c r="G434" s="1">
        <v>2.9288523364812139E-5</v>
      </c>
      <c r="H434">
        <f t="shared" si="37"/>
        <v>8</v>
      </c>
      <c r="I434" t="str">
        <f t="shared" si="38"/>
        <v/>
      </c>
      <c r="J434" t="str">
        <f t="shared" si="39"/>
        <v/>
      </c>
      <c r="K434" t="str">
        <f t="shared" si="40"/>
        <v/>
      </c>
      <c r="L434" t="str">
        <f t="shared" si="40"/>
        <v/>
      </c>
      <c r="M434" t="b">
        <f t="shared" si="41"/>
        <v>0</v>
      </c>
    </row>
    <row r="435" spans="1:13" ht="15.75" x14ac:dyDescent="0.3">
      <c r="A435" s="2">
        <v>45887</v>
      </c>
      <c r="B435" s="1">
        <v>0</v>
      </c>
      <c r="C435" s="1">
        <v>0</v>
      </c>
      <c r="D435" s="3">
        <f t="shared" si="42"/>
        <v>0</v>
      </c>
      <c r="E435" s="1">
        <v>0</v>
      </c>
      <c r="F435" s="1">
        <v>0</v>
      </c>
      <c r="G435" s="1">
        <v>-150374.99997071151</v>
      </c>
      <c r="H435">
        <f t="shared" si="37"/>
        <v>8</v>
      </c>
      <c r="I435" t="str">
        <f t="shared" si="38"/>
        <v/>
      </c>
      <c r="J435" t="str">
        <f t="shared" si="39"/>
        <v/>
      </c>
      <c r="K435" t="str">
        <f t="shared" si="40"/>
        <v/>
      </c>
      <c r="L435" t="str">
        <f t="shared" si="40"/>
        <v/>
      </c>
      <c r="M435" t="b">
        <f t="shared" si="41"/>
        <v>0</v>
      </c>
    </row>
    <row r="436" spans="1:13" ht="15.75" x14ac:dyDescent="0.3">
      <c r="A436" s="2">
        <v>45888</v>
      </c>
      <c r="B436" s="1">
        <v>0</v>
      </c>
      <c r="C436" s="1">
        <v>0</v>
      </c>
      <c r="D436" s="3">
        <f t="shared" si="42"/>
        <v>0</v>
      </c>
      <c r="E436" s="1">
        <v>0</v>
      </c>
      <c r="F436" s="1">
        <v>0</v>
      </c>
      <c r="G436" s="1">
        <v>-107.6237707114766</v>
      </c>
      <c r="H436">
        <f t="shared" si="37"/>
        <v>8</v>
      </c>
      <c r="I436" t="str">
        <f t="shared" si="38"/>
        <v/>
      </c>
      <c r="J436" t="str">
        <f t="shared" si="39"/>
        <v/>
      </c>
      <c r="K436" t="str">
        <f t="shared" si="40"/>
        <v/>
      </c>
      <c r="L436" t="str">
        <f t="shared" si="40"/>
        <v/>
      </c>
      <c r="M436" t="b">
        <f t="shared" si="41"/>
        <v>0</v>
      </c>
    </row>
    <row r="437" spans="1:13" ht="15.75" x14ac:dyDescent="0.3">
      <c r="A437" s="2">
        <v>45889</v>
      </c>
      <c r="B437" s="1">
        <v>0</v>
      </c>
      <c r="C437" s="1">
        <v>0</v>
      </c>
      <c r="D437" s="3">
        <f t="shared" si="42"/>
        <v>0</v>
      </c>
      <c r="E437" s="1">
        <v>0</v>
      </c>
      <c r="F437" s="1">
        <v>0</v>
      </c>
      <c r="G437" s="1">
        <v>1782071.164042908</v>
      </c>
      <c r="H437">
        <f t="shared" si="37"/>
        <v>8</v>
      </c>
      <c r="I437" t="str">
        <f t="shared" si="38"/>
        <v/>
      </c>
      <c r="J437" t="str">
        <f t="shared" si="39"/>
        <v/>
      </c>
      <c r="K437" t="str">
        <f t="shared" si="40"/>
        <v/>
      </c>
      <c r="L437" t="str">
        <f t="shared" si="40"/>
        <v/>
      </c>
      <c r="M437" t="b">
        <f t="shared" si="41"/>
        <v>0</v>
      </c>
    </row>
    <row r="438" spans="1:13" ht="15.75" x14ac:dyDescent="0.3">
      <c r="A438" s="2">
        <v>45890</v>
      </c>
      <c r="B438" s="1">
        <v>0</v>
      </c>
      <c r="C438" s="1">
        <v>0</v>
      </c>
      <c r="D438" s="3">
        <f t="shared" si="42"/>
        <v>0</v>
      </c>
      <c r="E438" s="1">
        <v>0</v>
      </c>
      <c r="F438" s="1">
        <v>0</v>
      </c>
      <c r="G438" s="1">
        <v>970610.63829030853</v>
      </c>
      <c r="H438">
        <f t="shared" si="37"/>
        <v>8</v>
      </c>
      <c r="I438" t="str">
        <f t="shared" si="38"/>
        <v/>
      </c>
      <c r="J438" t="str">
        <f t="shared" si="39"/>
        <v/>
      </c>
      <c r="K438" t="str">
        <f t="shared" si="40"/>
        <v/>
      </c>
      <c r="L438" t="str">
        <f t="shared" si="40"/>
        <v/>
      </c>
      <c r="M438" t="b">
        <f t="shared" si="41"/>
        <v>0</v>
      </c>
    </row>
    <row r="439" spans="1:13" ht="15.75" x14ac:dyDescent="0.3">
      <c r="A439" s="2">
        <v>45891</v>
      </c>
      <c r="B439" s="1">
        <v>0</v>
      </c>
      <c r="C439" s="1">
        <v>0</v>
      </c>
      <c r="D439" s="3">
        <f t="shared" si="42"/>
        <v>0</v>
      </c>
      <c r="E439" s="1">
        <v>0</v>
      </c>
      <c r="F439" s="1">
        <v>0</v>
      </c>
      <c r="G439" s="1">
        <v>1586154.7000396091</v>
      </c>
      <c r="H439">
        <f t="shared" si="37"/>
        <v>8</v>
      </c>
      <c r="I439" t="str">
        <f t="shared" si="38"/>
        <v/>
      </c>
      <c r="J439" t="str">
        <f t="shared" si="39"/>
        <v/>
      </c>
      <c r="K439" t="str">
        <f t="shared" si="40"/>
        <v/>
      </c>
      <c r="L439" t="str">
        <f t="shared" si="40"/>
        <v/>
      </c>
      <c r="M439" t="b">
        <f t="shared" si="41"/>
        <v>0</v>
      </c>
    </row>
    <row r="440" spans="1:13" ht="15.75" x14ac:dyDescent="0.3">
      <c r="A440" s="2">
        <v>45894</v>
      </c>
      <c r="B440" s="1">
        <v>0</v>
      </c>
      <c r="C440" s="1">
        <v>0</v>
      </c>
      <c r="D440" s="3">
        <f t="shared" si="42"/>
        <v>0</v>
      </c>
      <c r="E440" s="1">
        <v>0</v>
      </c>
      <c r="F440" s="1">
        <v>0</v>
      </c>
      <c r="G440" s="1">
        <v>1865000.0000531289</v>
      </c>
      <c r="H440">
        <f t="shared" si="37"/>
        <v>8</v>
      </c>
      <c r="I440" t="str">
        <f t="shared" si="38"/>
        <v/>
      </c>
      <c r="J440" t="str">
        <f t="shared" si="39"/>
        <v/>
      </c>
      <c r="K440" t="str">
        <f t="shared" si="40"/>
        <v/>
      </c>
      <c r="L440" t="str">
        <f t="shared" si="40"/>
        <v/>
      </c>
      <c r="M440" t="b">
        <f t="shared" si="41"/>
        <v>0</v>
      </c>
    </row>
    <row r="441" spans="1:13" ht="15.75" x14ac:dyDescent="0.3">
      <c r="A441" s="2">
        <v>45895</v>
      </c>
      <c r="B441" s="1">
        <v>0</v>
      </c>
      <c r="C441" s="1">
        <v>0</v>
      </c>
      <c r="D441" s="3">
        <f t="shared" si="42"/>
        <v>0</v>
      </c>
      <c r="E441" s="1">
        <v>0</v>
      </c>
      <c r="F441" s="1">
        <v>0</v>
      </c>
      <c r="G441" s="1">
        <v>2614000.0000724592</v>
      </c>
      <c r="H441">
        <f t="shared" si="37"/>
        <v>8</v>
      </c>
      <c r="I441" t="str">
        <f t="shared" si="38"/>
        <v/>
      </c>
      <c r="J441" t="str">
        <f t="shared" si="39"/>
        <v/>
      </c>
      <c r="K441" t="str">
        <f t="shared" si="40"/>
        <v/>
      </c>
      <c r="L441" t="str">
        <f t="shared" si="40"/>
        <v/>
      </c>
      <c r="M441" t="b">
        <f t="shared" si="41"/>
        <v>0</v>
      </c>
    </row>
    <row r="442" spans="1:13" ht="15.75" x14ac:dyDescent="0.3">
      <c r="A442" s="2">
        <v>45896</v>
      </c>
      <c r="B442" s="1">
        <v>0</v>
      </c>
      <c r="C442" s="1">
        <v>0</v>
      </c>
      <c r="D442" s="3">
        <f t="shared" si="42"/>
        <v>0</v>
      </c>
      <c r="E442" s="1">
        <v>0</v>
      </c>
      <c r="F442" s="1">
        <v>0</v>
      </c>
      <c r="G442" s="1">
        <v>3220000.0000255988</v>
      </c>
      <c r="H442">
        <f t="shared" si="37"/>
        <v>8</v>
      </c>
      <c r="I442" t="str">
        <f t="shared" si="38"/>
        <v/>
      </c>
      <c r="J442" t="str">
        <f t="shared" si="39"/>
        <v/>
      </c>
      <c r="K442" t="str">
        <f t="shared" si="40"/>
        <v/>
      </c>
      <c r="L442" t="str">
        <f t="shared" si="40"/>
        <v/>
      </c>
      <c r="M442" t="b">
        <f t="shared" si="41"/>
        <v>0</v>
      </c>
    </row>
    <row r="443" spans="1:13" ht="15.75" x14ac:dyDescent="0.3">
      <c r="A443" s="2">
        <v>45897</v>
      </c>
      <c r="B443" s="1">
        <v>0</v>
      </c>
      <c r="C443" s="1">
        <v>0</v>
      </c>
      <c r="D443" s="3">
        <f t="shared" si="42"/>
        <v>0</v>
      </c>
      <c r="E443" s="1">
        <v>0</v>
      </c>
      <c r="F443" s="1">
        <v>0</v>
      </c>
      <c r="G443" s="1">
        <v>2681000.0000011688</v>
      </c>
      <c r="H443">
        <f t="shared" si="37"/>
        <v>8</v>
      </c>
      <c r="I443" t="str">
        <f t="shared" si="38"/>
        <v/>
      </c>
      <c r="J443" t="str">
        <f t="shared" si="39"/>
        <v/>
      </c>
      <c r="K443" t="str">
        <f t="shared" si="40"/>
        <v/>
      </c>
      <c r="L443" t="str">
        <f t="shared" si="40"/>
        <v/>
      </c>
      <c r="M443" t="b">
        <f t="shared" si="41"/>
        <v>0</v>
      </c>
    </row>
    <row r="444" spans="1:13" ht="15.75" x14ac:dyDescent="0.3">
      <c r="A444" s="2">
        <v>45898</v>
      </c>
      <c r="B444" s="1">
        <v>0</v>
      </c>
      <c r="C444" s="1">
        <v>0</v>
      </c>
      <c r="D444" s="3">
        <f t="shared" si="42"/>
        <v>0</v>
      </c>
      <c r="E444" s="1">
        <v>0</v>
      </c>
      <c r="F444" s="1">
        <v>0</v>
      </c>
      <c r="G444" s="1">
        <v>2124000.0000494188</v>
      </c>
      <c r="H444">
        <f t="shared" si="37"/>
        <v>8</v>
      </c>
      <c r="I444">
        <f t="shared" si="38"/>
        <v>0</v>
      </c>
      <c r="J444">
        <f t="shared" si="39"/>
        <v>0</v>
      </c>
      <c r="K444">
        <f t="shared" si="40"/>
        <v>0</v>
      </c>
      <c r="L444">
        <f t="shared" si="40"/>
        <v>2124000.0000494188</v>
      </c>
      <c r="M444" t="b">
        <f t="shared" si="41"/>
        <v>1</v>
      </c>
    </row>
    <row r="445" spans="1:13" ht="15.75" x14ac:dyDescent="0.3">
      <c r="A445" s="2">
        <v>45901</v>
      </c>
      <c r="B445" s="1">
        <v>0</v>
      </c>
      <c r="C445" s="1">
        <v>0</v>
      </c>
      <c r="D445" s="3">
        <f t="shared" si="42"/>
        <v>0</v>
      </c>
      <c r="E445" s="1">
        <v>0</v>
      </c>
      <c r="F445" s="1">
        <v>0</v>
      </c>
      <c r="G445" s="1">
        <v>3784999.9999986491</v>
      </c>
      <c r="H445">
        <f t="shared" si="37"/>
        <v>9</v>
      </c>
      <c r="I445" t="str">
        <f t="shared" si="38"/>
        <v/>
      </c>
      <c r="J445" t="str">
        <f t="shared" si="39"/>
        <v/>
      </c>
      <c r="K445" t="str">
        <f t="shared" si="40"/>
        <v/>
      </c>
      <c r="L445" t="str">
        <f t="shared" si="40"/>
        <v/>
      </c>
      <c r="M445" t="b">
        <f t="shared" si="41"/>
        <v>0</v>
      </c>
    </row>
    <row r="446" spans="1:13" ht="15.75" x14ac:dyDescent="0.3">
      <c r="A446" s="2">
        <v>45902</v>
      </c>
      <c r="B446" s="1">
        <v>0</v>
      </c>
      <c r="C446" s="1">
        <v>0</v>
      </c>
      <c r="D446" s="3">
        <f t="shared" si="42"/>
        <v>0</v>
      </c>
      <c r="E446" s="1">
        <v>0</v>
      </c>
      <c r="F446" s="1">
        <v>0</v>
      </c>
      <c r="G446" s="1">
        <v>4504999.9999646386</v>
      </c>
      <c r="H446">
        <f t="shared" si="37"/>
        <v>9</v>
      </c>
      <c r="I446" t="str">
        <f t="shared" si="38"/>
        <v/>
      </c>
      <c r="J446" t="str">
        <f t="shared" si="39"/>
        <v/>
      </c>
      <c r="K446" t="str">
        <f t="shared" si="40"/>
        <v/>
      </c>
      <c r="L446" t="str">
        <f t="shared" si="40"/>
        <v/>
      </c>
      <c r="M446" t="b">
        <f t="shared" si="41"/>
        <v>0</v>
      </c>
    </row>
    <row r="447" spans="1:13" ht="15.75" x14ac:dyDescent="0.3">
      <c r="A447" s="2">
        <v>45903</v>
      </c>
      <c r="B447" s="1">
        <v>0</v>
      </c>
      <c r="C447" s="1">
        <v>0</v>
      </c>
      <c r="D447" s="3">
        <f t="shared" si="42"/>
        <v>0</v>
      </c>
      <c r="E447" s="1">
        <v>0</v>
      </c>
      <c r="F447" s="1">
        <v>0</v>
      </c>
      <c r="G447" s="1">
        <v>4345999.9999919087</v>
      </c>
      <c r="H447">
        <f t="shared" si="37"/>
        <v>9</v>
      </c>
      <c r="I447" t="str">
        <f t="shared" si="38"/>
        <v/>
      </c>
      <c r="J447" t="str">
        <f t="shared" si="39"/>
        <v/>
      </c>
      <c r="K447" t="str">
        <f t="shared" si="40"/>
        <v/>
      </c>
      <c r="L447" t="str">
        <f t="shared" si="40"/>
        <v/>
      </c>
      <c r="M447" t="b">
        <f t="shared" si="41"/>
        <v>0</v>
      </c>
    </row>
    <row r="448" spans="1:13" ht="15.75" x14ac:dyDescent="0.3">
      <c r="A448" s="2">
        <v>45904</v>
      </c>
      <c r="B448" s="1">
        <v>0</v>
      </c>
      <c r="C448" s="1">
        <v>0</v>
      </c>
      <c r="D448" s="3">
        <f t="shared" si="42"/>
        <v>0</v>
      </c>
      <c r="E448" s="1">
        <v>0</v>
      </c>
      <c r="F448" s="1">
        <v>0</v>
      </c>
      <c r="G448" s="1">
        <v>3964395.027979359</v>
      </c>
      <c r="H448">
        <f t="shared" si="37"/>
        <v>9</v>
      </c>
      <c r="I448" t="str">
        <f t="shared" si="38"/>
        <v/>
      </c>
      <c r="J448" t="str">
        <f t="shared" si="39"/>
        <v/>
      </c>
      <c r="K448" t="str">
        <f t="shared" si="40"/>
        <v/>
      </c>
      <c r="L448" t="str">
        <f t="shared" si="40"/>
        <v/>
      </c>
      <c r="M448" t="b">
        <f t="shared" si="41"/>
        <v>0</v>
      </c>
    </row>
    <row r="449" spans="1:13" ht="15.75" x14ac:dyDescent="0.3">
      <c r="A449" s="2">
        <v>45905</v>
      </c>
      <c r="B449" s="1">
        <v>0</v>
      </c>
      <c r="C449" s="1">
        <v>0</v>
      </c>
      <c r="D449" s="3">
        <f t="shared" si="42"/>
        <v>0</v>
      </c>
      <c r="E449" s="1">
        <v>0</v>
      </c>
      <c r="F449" s="1">
        <v>0</v>
      </c>
      <c r="G449" s="1">
        <v>4240000.000046039</v>
      </c>
      <c r="H449">
        <f t="shared" si="37"/>
        <v>9</v>
      </c>
      <c r="I449" t="str">
        <f t="shared" si="38"/>
        <v/>
      </c>
      <c r="J449" t="str">
        <f t="shared" si="39"/>
        <v/>
      </c>
      <c r="K449" t="str">
        <f t="shared" si="40"/>
        <v/>
      </c>
      <c r="L449" t="str">
        <f t="shared" si="40"/>
        <v/>
      </c>
      <c r="M449" t="b">
        <f t="shared" si="41"/>
        <v>0</v>
      </c>
    </row>
    <row r="450" spans="1:13" ht="15.75" x14ac:dyDescent="0.3">
      <c r="A450" s="2">
        <v>45908</v>
      </c>
      <c r="B450" s="1">
        <v>0</v>
      </c>
      <c r="C450" s="1">
        <v>0</v>
      </c>
      <c r="D450" s="3">
        <f t="shared" si="42"/>
        <v>0</v>
      </c>
      <c r="E450" s="1">
        <v>0</v>
      </c>
      <c r="F450" s="1">
        <v>0</v>
      </c>
      <c r="G450" s="1">
        <v>3446999.9999762988</v>
      </c>
      <c r="H450">
        <f t="shared" si="37"/>
        <v>9</v>
      </c>
      <c r="I450" t="str">
        <f t="shared" si="38"/>
        <v/>
      </c>
      <c r="J450" t="str">
        <f t="shared" si="39"/>
        <v/>
      </c>
      <c r="K450" t="str">
        <f t="shared" si="40"/>
        <v/>
      </c>
      <c r="L450" t="str">
        <f t="shared" si="40"/>
        <v/>
      </c>
      <c r="M450" t="b">
        <f t="shared" si="41"/>
        <v>0</v>
      </c>
    </row>
    <row r="451" spans="1:13" ht="15.75" x14ac:dyDescent="0.3">
      <c r="A451" s="2">
        <v>45909</v>
      </c>
      <c r="B451" s="1">
        <v>0</v>
      </c>
      <c r="C451" s="1">
        <v>0</v>
      </c>
      <c r="D451" s="3">
        <f t="shared" si="42"/>
        <v>0</v>
      </c>
      <c r="E451" s="1">
        <v>0</v>
      </c>
      <c r="F451" s="1">
        <v>0</v>
      </c>
      <c r="G451" s="1">
        <v>4545772.0000318391</v>
      </c>
      <c r="H451">
        <f t="shared" ref="H451:H500" si="43">+MONTH(A451)</f>
        <v>9</v>
      </c>
      <c r="I451" t="str">
        <f t="shared" ref="I451:I500" si="44">+IF($H451&lt;&gt;$H452,D451,"")</f>
        <v/>
      </c>
      <c r="J451" t="str">
        <f t="shared" ref="J451:J500" si="45">+IF($H451&lt;&gt;$H452,E451,"")</f>
        <v/>
      </c>
      <c r="K451" t="str">
        <f t="shared" ref="K451:L500" si="46">+IF($H451&lt;&gt;$H452,F451,"")</f>
        <v/>
      </c>
      <c r="L451" t="str">
        <f t="shared" si="46"/>
        <v/>
      </c>
      <c r="M451" t="b">
        <f t="shared" ref="M451:M500" si="47">+$H451&lt;&gt;$H452</f>
        <v>0</v>
      </c>
    </row>
    <row r="452" spans="1:13" ht="15.75" x14ac:dyDescent="0.3">
      <c r="A452" s="2">
        <v>45910</v>
      </c>
      <c r="B452" s="1">
        <v>0</v>
      </c>
      <c r="C452" s="1">
        <v>0</v>
      </c>
      <c r="D452" s="3">
        <f t="shared" si="42"/>
        <v>0</v>
      </c>
      <c r="E452" s="1">
        <v>0</v>
      </c>
      <c r="F452" s="1">
        <v>0</v>
      </c>
      <c r="G452" s="1">
        <v>4521261.2996791983</v>
      </c>
      <c r="H452">
        <f t="shared" si="43"/>
        <v>9</v>
      </c>
      <c r="I452" t="str">
        <f t="shared" si="44"/>
        <v/>
      </c>
      <c r="J452" t="str">
        <f t="shared" si="45"/>
        <v/>
      </c>
      <c r="K452" t="str">
        <f t="shared" si="46"/>
        <v/>
      </c>
      <c r="L452" t="str">
        <f t="shared" si="46"/>
        <v/>
      </c>
      <c r="M452" t="b">
        <f t="shared" si="47"/>
        <v>0</v>
      </c>
    </row>
    <row r="453" spans="1:13" ht="15.75" x14ac:dyDescent="0.3">
      <c r="A453" s="2">
        <v>45911</v>
      </c>
      <c r="B453" s="1">
        <v>0</v>
      </c>
      <c r="C453" s="1">
        <v>0</v>
      </c>
      <c r="D453" s="3">
        <f t="shared" si="42"/>
        <v>0</v>
      </c>
      <c r="E453" s="1">
        <v>0</v>
      </c>
      <c r="F453" s="1">
        <v>0</v>
      </c>
      <c r="G453" s="1">
        <v>4793267.4500869289</v>
      </c>
      <c r="H453">
        <f t="shared" si="43"/>
        <v>9</v>
      </c>
      <c r="I453" t="str">
        <f t="shared" si="44"/>
        <v/>
      </c>
      <c r="J453" t="str">
        <f t="shared" si="45"/>
        <v/>
      </c>
      <c r="K453" t="str">
        <f t="shared" si="46"/>
        <v/>
      </c>
      <c r="L453" t="str">
        <f t="shared" si="46"/>
        <v/>
      </c>
      <c r="M453" t="b">
        <f t="shared" si="47"/>
        <v>0</v>
      </c>
    </row>
    <row r="454" spans="1:13" ht="15.75" x14ac:dyDescent="0.3">
      <c r="A454" s="2">
        <v>45912</v>
      </c>
      <c r="B454" s="1">
        <v>0</v>
      </c>
      <c r="C454" s="1">
        <v>0</v>
      </c>
      <c r="D454" s="3">
        <f t="shared" si="42"/>
        <v>0</v>
      </c>
      <c r="E454" s="1">
        <v>0</v>
      </c>
      <c r="F454" s="1">
        <v>0</v>
      </c>
      <c r="G454" s="1">
        <v>5600000.0000785394</v>
      </c>
      <c r="H454">
        <f t="shared" si="43"/>
        <v>9</v>
      </c>
      <c r="I454" t="str">
        <f t="shared" si="44"/>
        <v/>
      </c>
      <c r="J454" t="str">
        <f t="shared" si="45"/>
        <v/>
      </c>
      <c r="K454" t="str">
        <f t="shared" si="46"/>
        <v/>
      </c>
      <c r="L454" t="str">
        <f t="shared" si="46"/>
        <v/>
      </c>
      <c r="M454" t="b">
        <f t="shared" si="47"/>
        <v>0</v>
      </c>
    </row>
    <row r="455" spans="1:13" ht="15.75" x14ac:dyDescent="0.3">
      <c r="A455" s="2">
        <v>45915</v>
      </c>
      <c r="B455" s="1">
        <v>0</v>
      </c>
      <c r="C455" s="1">
        <v>0</v>
      </c>
      <c r="D455" s="3">
        <f t="shared" ref="D455:D500" si="48">+B455-C455</f>
        <v>0</v>
      </c>
      <c r="E455" s="1">
        <v>0</v>
      </c>
      <c r="F455" s="1">
        <v>0</v>
      </c>
      <c r="G455" s="1">
        <v>4667883.9604706792</v>
      </c>
      <c r="H455">
        <f t="shared" si="43"/>
        <v>9</v>
      </c>
      <c r="I455" t="str">
        <f t="shared" si="44"/>
        <v/>
      </c>
      <c r="J455" t="str">
        <f t="shared" si="45"/>
        <v/>
      </c>
      <c r="K455" t="str">
        <f t="shared" si="46"/>
        <v/>
      </c>
      <c r="L455" t="str">
        <f t="shared" si="46"/>
        <v/>
      </c>
      <c r="M455" t="b">
        <f t="shared" si="47"/>
        <v>0</v>
      </c>
    </row>
    <row r="456" spans="1:13" ht="15.75" x14ac:dyDescent="0.3">
      <c r="A456" s="2">
        <v>45916</v>
      </c>
      <c r="B456" s="1">
        <v>0</v>
      </c>
      <c r="C456" s="1">
        <v>0</v>
      </c>
      <c r="D456" s="3">
        <f t="shared" si="48"/>
        <v>0</v>
      </c>
      <c r="E456" s="1">
        <v>0</v>
      </c>
      <c r="F456" s="1">
        <v>0</v>
      </c>
      <c r="G456" s="1">
        <v>5553835.575770529</v>
      </c>
      <c r="H456">
        <f t="shared" si="43"/>
        <v>9</v>
      </c>
      <c r="I456" t="str">
        <f t="shared" si="44"/>
        <v/>
      </c>
      <c r="J456" t="str">
        <f t="shared" si="45"/>
        <v/>
      </c>
      <c r="K456" t="str">
        <f t="shared" si="46"/>
        <v/>
      </c>
      <c r="L456" t="str">
        <f t="shared" si="46"/>
        <v/>
      </c>
      <c r="M456" t="b">
        <f t="shared" si="47"/>
        <v>0</v>
      </c>
    </row>
    <row r="457" spans="1:13" ht="15.75" x14ac:dyDescent="0.3">
      <c r="A457" s="2">
        <v>45917</v>
      </c>
      <c r="B457" s="1">
        <v>0</v>
      </c>
      <c r="C457" s="1">
        <v>0</v>
      </c>
      <c r="D457" s="3">
        <f t="shared" si="48"/>
        <v>0</v>
      </c>
      <c r="E457" s="1">
        <v>0</v>
      </c>
      <c r="F457" s="1">
        <v>0</v>
      </c>
      <c r="G457" s="1">
        <v>5973864.4097170075</v>
      </c>
      <c r="H457">
        <f t="shared" si="43"/>
        <v>9</v>
      </c>
      <c r="I457" t="str">
        <f t="shared" si="44"/>
        <v/>
      </c>
      <c r="J457" t="str">
        <f t="shared" si="45"/>
        <v/>
      </c>
      <c r="K457" t="str">
        <f t="shared" si="46"/>
        <v/>
      </c>
      <c r="L457" t="str">
        <f t="shared" si="46"/>
        <v/>
      </c>
      <c r="M457" t="b">
        <f t="shared" si="47"/>
        <v>0</v>
      </c>
    </row>
    <row r="458" spans="1:13" ht="15.75" x14ac:dyDescent="0.3">
      <c r="A458" s="2">
        <v>45918</v>
      </c>
      <c r="B458" s="1">
        <v>0</v>
      </c>
      <c r="C458" s="1">
        <v>0</v>
      </c>
      <c r="D458" s="3">
        <f t="shared" si="48"/>
        <v>0</v>
      </c>
      <c r="E458" s="1">
        <v>0</v>
      </c>
      <c r="F458" s="1">
        <v>0</v>
      </c>
      <c r="G458" s="1">
        <v>4796184.6949809082</v>
      </c>
      <c r="H458">
        <f t="shared" si="43"/>
        <v>9</v>
      </c>
      <c r="I458" t="str">
        <f t="shared" si="44"/>
        <v/>
      </c>
      <c r="J458" t="str">
        <f t="shared" si="45"/>
        <v/>
      </c>
      <c r="K458" t="str">
        <f t="shared" si="46"/>
        <v/>
      </c>
      <c r="L458" t="str">
        <f t="shared" si="46"/>
        <v/>
      </c>
      <c r="M458" t="b">
        <f t="shared" si="47"/>
        <v>0</v>
      </c>
    </row>
    <row r="459" spans="1:13" ht="15.75" x14ac:dyDescent="0.3">
      <c r="A459" s="2">
        <v>45919</v>
      </c>
      <c r="B459" s="1">
        <v>0</v>
      </c>
      <c r="C459" s="1">
        <v>0</v>
      </c>
      <c r="D459" s="3">
        <f t="shared" si="48"/>
        <v>0</v>
      </c>
      <c r="E459" s="1">
        <v>0</v>
      </c>
      <c r="F459" s="1">
        <v>0</v>
      </c>
      <c r="G459" s="1">
        <v>4502384.1265426287</v>
      </c>
      <c r="H459">
        <f t="shared" si="43"/>
        <v>9</v>
      </c>
      <c r="I459" t="str">
        <f t="shared" si="44"/>
        <v/>
      </c>
      <c r="J459" t="str">
        <f t="shared" si="45"/>
        <v/>
      </c>
      <c r="K459" t="str">
        <f t="shared" si="46"/>
        <v/>
      </c>
      <c r="L459" t="str">
        <f t="shared" si="46"/>
        <v/>
      </c>
      <c r="M459" t="b">
        <f t="shared" si="47"/>
        <v>0</v>
      </c>
    </row>
    <row r="460" spans="1:13" ht="15.75" x14ac:dyDescent="0.3">
      <c r="A460" s="2">
        <v>45922</v>
      </c>
      <c r="B460" s="1">
        <v>0</v>
      </c>
      <c r="C460" s="1">
        <v>0</v>
      </c>
      <c r="D460" s="3">
        <f t="shared" si="48"/>
        <v>0</v>
      </c>
      <c r="E460" s="1">
        <v>0</v>
      </c>
      <c r="F460" s="1">
        <v>0</v>
      </c>
      <c r="G460" s="1">
        <v>3334411.9439954292</v>
      </c>
      <c r="H460">
        <f t="shared" si="43"/>
        <v>9</v>
      </c>
      <c r="I460" t="str">
        <f t="shared" si="44"/>
        <v/>
      </c>
      <c r="J460" t="str">
        <f t="shared" si="45"/>
        <v/>
      </c>
      <c r="K460" t="str">
        <f t="shared" si="46"/>
        <v/>
      </c>
      <c r="L460" t="str">
        <f t="shared" si="46"/>
        <v/>
      </c>
      <c r="M460" t="b">
        <f t="shared" si="47"/>
        <v>0</v>
      </c>
    </row>
    <row r="461" spans="1:13" ht="15.75" x14ac:dyDescent="0.3">
      <c r="A461" s="2">
        <v>45923</v>
      </c>
      <c r="B461" s="1">
        <v>0</v>
      </c>
      <c r="C461" s="1">
        <v>0</v>
      </c>
      <c r="D461" s="3">
        <f t="shared" si="48"/>
        <v>0</v>
      </c>
      <c r="E461" s="1">
        <v>0</v>
      </c>
      <c r="F461" s="1">
        <v>0</v>
      </c>
      <c r="G461" s="1">
        <v>3385635.5959733692</v>
      </c>
      <c r="H461">
        <f t="shared" si="43"/>
        <v>9</v>
      </c>
      <c r="I461" t="str">
        <f t="shared" si="44"/>
        <v/>
      </c>
      <c r="J461" t="str">
        <f t="shared" si="45"/>
        <v/>
      </c>
      <c r="K461" t="str">
        <f t="shared" si="46"/>
        <v/>
      </c>
      <c r="L461" t="str">
        <f t="shared" si="46"/>
        <v/>
      </c>
      <c r="M461" t="b">
        <f t="shared" si="47"/>
        <v>0</v>
      </c>
    </row>
    <row r="462" spans="1:13" ht="15.75" x14ac:dyDescent="0.3">
      <c r="A462" s="2">
        <v>45924</v>
      </c>
      <c r="B462" s="1">
        <v>0</v>
      </c>
      <c r="C462" s="1">
        <v>0</v>
      </c>
      <c r="D462" s="3">
        <f t="shared" si="48"/>
        <v>0</v>
      </c>
      <c r="E462" s="1">
        <v>0</v>
      </c>
      <c r="F462" s="1">
        <v>0</v>
      </c>
      <c r="G462" s="1">
        <v>3096775.468493619</v>
      </c>
      <c r="H462">
        <f t="shared" si="43"/>
        <v>9</v>
      </c>
      <c r="I462" t="str">
        <f t="shared" si="44"/>
        <v/>
      </c>
      <c r="J462" t="str">
        <f t="shared" si="45"/>
        <v/>
      </c>
      <c r="K462" t="str">
        <f t="shared" si="46"/>
        <v/>
      </c>
      <c r="L462" t="str">
        <f t="shared" si="46"/>
        <v/>
      </c>
      <c r="M462" t="b">
        <f t="shared" si="47"/>
        <v>0</v>
      </c>
    </row>
    <row r="463" spans="1:13" ht="15.75" x14ac:dyDescent="0.3">
      <c r="A463" s="2">
        <v>45925</v>
      </c>
      <c r="B463" s="1">
        <v>0</v>
      </c>
      <c r="C463" s="1">
        <v>0</v>
      </c>
      <c r="D463" s="3">
        <f t="shared" si="48"/>
        <v>0</v>
      </c>
      <c r="E463" s="1">
        <v>0</v>
      </c>
      <c r="F463" s="1">
        <v>0</v>
      </c>
      <c r="G463" s="1">
        <v>3845270.9076871392</v>
      </c>
      <c r="H463">
        <f t="shared" si="43"/>
        <v>9</v>
      </c>
      <c r="I463" t="str">
        <f t="shared" si="44"/>
        <v/>
      </c>
      <c r="J463" t="str">
        <f t="shared" si="45"/>
        <v/>
      </c>
      <c r="K463" t="str">
        <f t="shared" si="46"/>
        <v/>
      </c>
      <c r="L463" t="str">
        <f t="shared" si="46"/>
        <v/>
      </c>
      <c r="M463" t="b">
        <f t="shared" si="47"/>
        <v>0</v>
      </c>
    </row>
    <row r="464" spans="1:13" ht="15.75" x14ac:dyDescent="0.3">
      <c r="A464" s="2">
        <v>45926</v>
      </c>
      <c r="B464" s="1">
        <v>0</v>
      </c>
      <c r="C464" s="1">
        <v>0</v>
      </c>
      <c r="D464" s="3">
        <f t="shared" si="48"/>
        <v>0</v>
      </c>
      <c r="E464" s="1">
        <v>0</v>
      </c>
      <c r="F464" s="1">
        <v>0</v>
      </c>
      <c r="G464" s="1">
        <v>5541436.3029510891</v>
      </c>
      <c r="H464">
        <f t="shared" si="43"/>
        <v>9</v>
      </c>
      <c r="I464" t="str">
        <f t="shared" si="44"/>
        <v/>
      </c>
      <c r="J464" t="str">
        <f t="shared" si="45"/>
        <v/>
      </c>
      <c r="K464" t="str">
        <f t="shared" si="46"/>
        <v/>
      </c>
      <c r="L464" t="str">
        <f t="shared" si="46"/>
        <v/>
      </c>
      <c r="M464" t="b">
        <f t="shared" si="47"/>
        <v>0</v>
      </c>
    </row>
    <row r="465" spans="1:13" ht="15.75" x14ac:dyDescent="0.3">
      <c r="A465" s="2">
        <v>45929</v>
      </c>
      <c r="B465" s="1">
        <v>0</v>
      </c>
      <c r="C465" s="1">
        <v>0</v>
      </c>
      <c r="D465" s="3">
        <f t="shared" si="48"/>
        <v>0</v>
      </c>
      <c r="E465" s="1">
        <v>0</v>
      </c>
      <c r="F465" s="1">
        <v>0</v>
      </c>
      <c r="G465" s="1">
        <v>5623312.6174363084</v>
      </c>
      <c r="H465">
        <f t="shared" si="43"/>
        <v>9</v>
      </c>
      <c r="I465" t="str">
        <f t="shared" si="44"/>
        <v/>
      </c>
      <c r="J465" t="str">
        <f t="shared" si="45"/>
        <v/>
      </c>
      <c r="K465" t="str">
        <f t="shared" si="46"/>
        <v/>
      </c>
      <c r="L465" t="str">
        <f t="shared" si="46"/>
        <v/>
      </c>
      <c r="M465" t="b">
        <f t="shared" si="47"/>
        <v>0</v>
      </c>
    </row>
    <row r="466" spans="1:13" ht="15.75" x14ac:dyDescent="0.3">
      <c r="A466" s="2">
        <v>45930</v>
      </c>
      <c r="B466" s="1">
        <v>0</v>
      </c>
      <c r="C466" s="1">
        <v>0</v>
      </c>
      <c r="D466" s="3">
        <f t="shared" si="48"/>
        <v>0</v>
      </c>
      <c r="E466" s="1">
        <v>0</v>
      </c>
      <c r="F466" s="1">
        <v>0</v>
      </c>
      <c r="G466" s="1">
        <v>2957183.0863340292</v>
      </c>
      <c r="H466">
        <f t="shared" si="43"/>
        <v>9</v>
      </c>
      <c r="I466">
        <f t="shared" si="44"/>
        <v>0</v>
      </c>
      <c r="J466">
        <f t="shared" si="45"/>
        <v>0</v>
      </c>
      <c r="K466">
        <f t="shared" si="46"/>
        <v>0</v>
      </c>
      <c r="L466">
        <f t="shared" si="46"/>
        <v>2957183.0863340292</v>
      </c>
      <c r="M466" t="b">
        <f t="shared" si="47"/>
        <v>1</v>
      </c>
    </row>
    <row r="467" spans="1:13" ht="15.75" x14ac:dyDescent="0.3">
      <c r="A467" s="2">
        <v>45931</v>
      </c>
      <c r="B467" s="1">
        <v>0</v>
      </c>
      <c r="C467" s="1">
        <v>0</v>
      </c>
      <c r="D467" s="3">
        <f t="shared" si="48"/>
        <v>0</v>
      </c>
      <c r="E467" s="1">
        <v>0</v>
      </c>
      <c r="F467" s="1">
        <v>0</v>
      </c>
      <c r="G467" s="1">
        <v>2528269.564216509</v>
      </c>
      <c r="H467">
        <f t="shared" si="43"/>
        <v>10</v>
      </c>
      <c r="I467" t="str">
        <f t="shared" si="44"/>
        <v/>
      </c>
      <c r="J467" t="str">
        <f t="shared" si="45"/>
        <v/>
      </c>
      <c r="K467" t="str">
        <f t="shared" si="46"/>
        <v/>
      </c>
      <c r="L467" t="str">
        <f t="shared" si="46"/>
        <v/>
      </c>
      <c r="M467" t="b">
        <f t="shared" si="47"/>
        <v>0</v>
      </c>
    </row>
    <row r="468" spans="1:13" ht="15.75" x14ac:dyDescent="0.3">
      <c r="A468" s="2">
        <v>45932</v>
      </c>
      <c r="B468" s="1">
        <v>0</v>
      </c>
      <c r="C468" s="1">
        <v>0</v>
      </c>
      <c r="D468" s="3">
        <f t="shared" si="48"/>
        <v>0</v>
      </c>
      <c r="E468" s="1">
        <v>0</v>
      </c>
      <c r="F468" s="1">
        <v>0</v>
      </c>
      <c r="G468" s="1">
        <v>2513626.6000321391</v>
      </c>
      <c r="H468">
        <f t="shared" si="43"/>
        <v>10</v>
      </c>
      <c r="I468" t="str">
        <f t="shared" si="44"/>
        <v/>
      </c>
      <c r="J468" t="str">
        <f t="shared" si="45"/>
        <v/>
      </c>
      <c r="K468" t="str">
        <f t="shared" si="46"/>
        <v/>
      </c>
      <c r="L468" t="str">
        <f t="shared" si="46"/>
        <v/>
      </c>
      <c r="M468" t="b">
        <f t="shared" si="47"/>
        <v>0</v>
      </c>
    </row>
    <row r="469" spans="1:13" ht="15.75" x14ac:dyDescent="0.3">
      <c r="A469" s="2">
        <v>45933</v>
      </c>
      <c r="B469" s="1">
        <v>0</v>
      </c>
      <c r="C469" s="1">
        <v>0</v>
      </c>
      <c r="D469" s="3">
        <f t="shared" si="48"/>
        <v>0</v>
      </c>
      <c r="E469" s="1">
        <v>0</v>
      </c>
      <c r="F469" s="1">
        <v>0</v>
      </c>
      <c r="G469" s="1">
        <v>1732361.2720212089</v>
      </c>
      <c r="H469">
        <f t="shared" si="43"/>
        <v>10</v>
      </c>
      <c r="I469" t="str">
        <f t="shared" si="44"/>
        <v/>
      </c>
      <c r="J469" t="str">
        <f t="shared" si="45"/>
        <v/>
      </c>
      <c r="K469" t="str">
        <f t="shared" si="46"/>
        <v/>
      </c>
      <c r="L469" t="str">
        <f t="shared" si="46"/>
        <v/>
      </c>
      <c r="M469" t="b">
        <f t="shared" si="47"/>
        <v>0</v>
      </c>
    </row>
    <row r="470" spans="1:13" ht="15.75" x14ac:dyDescent="0.3">
      <c r="A470" s="2">
        <v>45936</v>
      </c>
      <c r="B470" s="1">
        <v>0</v>
      </c>
      <c r="C470" s="1">
        <v>0</v>
      </c>
      <c r="D470" s="3">
        <f t="shared" si="48"/>
        <v>0</v>
      </c>
      <c r="E470" s="1">
        <v>0</v>
      </c>
      <c r="F470" s="1">
        <v>0</v>
      </c>
      <c r="G470" s="1">
        <v>800946.84741362883</v>
      </c>
      <c r="H470">
        <f t="shared" si="43"/>
        <v>10</v>
      </c>
      <c r="I470" t="str">
        <f t="shared" si="44"/>
        <v/>
      </c>
      <c r="J470" t="str">
        <f t="shared" si="45"/>
        <v/>
      </c>
      <c r="K470" t="str">
        <f t="shared" si="46"/>
        <v/>
      </c>
      <c r="L470" t="str">
        <f t="shared" si="46"/>
        <v/>
      </c>
      <c r="M470" t="b">
        <f t="shared" si="47"/>
        <v>0</v>
      </c>
    </row>
    <row r="471" spans="1:13" ht="15.75" x14ac:dyDescent="0.3">
      <c r="A471" s="2">
        <v>45937</v>
      </c>
      <c r="B471" s="1">
        <v>0</v>
      </c>
      <c r="C471" s="1">
        <v>0</v>
      </c>
      <c r="D471" s="3">
        <f t="shared" si="48"/>
        <v>0</v>
      </c>
      <c r="E471" s="1">
        <v>0</v>
      </c>
      <c r="F471" s="1">
        <v>0</v>
      </c>
      <c r="G471" s="1">
        <v>676477.40003507864</v>
      </c>
      <c r="H471">
        <f t="shared" si="43"/>
        <v>10</v>
      </c>
      <c r="I471" t="str">
        <f t="shared" si="44"/>
        <v/>
      </c>
      <c r="J471" t="str">
        <f t="shared" si="45"/>
        <v/>
      </c>
      <c r="K471" t="str">
        <f t="shared" si="46"/>
        <v/>
      </c>
      <c r="L471" t="str">
        <f t="shared" si="46"/>
        <v/>
      </c>
      <c r="M471" t="b">
        <f t="shared" si="47"/>
        <v>0</v>
      </c>
    </row>
    <row r="472" spans="1:13" ht="15.75" x14ac:dyDescent="0.3">
      <c r="A472" s="2">
        <v>45938</v>
      </c>
      <c r="B472" s="1">
        <v>0</v>
      </c>
      <c r="C472" s="1">
        <v>0</v>
      </c>
      <c r="D472" s="3">
        <f t="shared" si="48"/>
        <v>0</v>
      </c>
      <c r="E472" s="1">
        <v>0</v>
      </c>
      <c r="F472" s="1">
        <v>0</v>
      </c>
      <c r="G472" s="1">
        <v>-22310.464970341349</v>
      </c>
      <c r="H472">
        <f t="shared" si="43"/>
        <v>10</v>
      </c>
      <c r="I472" t="str">
        <f t="shared" si="44"/>
        <v/>
      </c>
      <c r="J472" t="str">
        <f t="shared" si="45"/>
        <v/>
      </c>
      <c r="K472" t="str">
        <f t="shared" si="46"/>
        <v/>
      </c>
      <c r="L472" t="str">
        <f t="shared" si="46"/>
        <v/>
      </c>
      <c r="M472" t="b">
        <f t="shared" si="47"/>
        <v>0</v>
      </c>
    </row>
    <row r="473" spans="1:13" ht="15.75" x14ac:dyDescent="0.3">
      <c r="A473" s="2">
        <v>45939</v>
      </c>
      <c r="B473" s="1">
        <v>0</v>
      </c>
      <c r="C473" s="1">
        <v>0</v>
      </c>
      <c r="D473" s="3">
        <f t="shared" si="48"/>
        <v>0</v>
      </c>
      <c r="E473" s="1">
        <v>0</v>
      </c>
      <c r="F473" s="1">
        <v>0</v>
      </c>
      <c r="G473" s="1">
        <v>-206070.9174428613</v>
      </c>
      <c r="H473">
        <f t="shared" si="43"/>
        <v>10</v>
      </c>
      <c r="I473" t="str">
        <f t="shared" si="44"/>
        <v/>
      </c>
      <c r="J473" t="str">
        <f t="shared" si="45"/>
        <v/>
      </c>
      <c r="K473" t="str">
        <f t="shared" si="46"/>
        <v/>
      </c>
      <c r="L473" t="str">
        <f t="shared" si="46"/>
        <v/>
      </c>
      <c r="M473" t="b">
        <f t="shared" si="47"/>
        <v>0</v>
      </c>
    </row>
    <row r="474" spans="1:13" ht="15.75" x14ac:dyDescent="0.3">
      <c r="A474" s="2">
        <v>45943</v>
      </c>
      <c r="B474" s="1">
        <v>0</v>
      </c>
      <c r="C474" s="1">
        <v>0</v>
      </c>
      <c r="D474" s="3">
        <f t="shared" si="48"/>
        <v>0</v>
      </c>
      <c r="E474" s="1">
        <v>0</v>
      </c>
      <c r="F474" s="1">
        <v>0</v>
      </c>
      <c r="G474" s="1">
        <v>-456841.48035663128</v>
      </c>
      <c r="H474">
        <f t="shared" si="43"/>
        <v>10</v>
      </c>
      <c r="I474" t="str">
        <f t="shared" si="44"/>
        <v/>
      </c>
      <c r="J474" t="str">
        <f t="shared" si="45"/>
        <v/>
      </c>
      <c r="K474" t="str">
        <f t="shared" si="46"/>
        <v/>
      </c>
      <c r="L474" t="str">
        <f t="shared" si="46"/>
        <v/>
      </c>
      <c r="M474" t="b">
        <f t="shared" si="47"/>
        <v>0</v>
      </c>
    </row>
    <row r="475" spans="1:13" ht="15.75" x14ac:dyDescent="0.3">
      <c r="A475" s="2">
        <v>45944</v>
      </c>
      <c r="B475" s="1">
        <v>0</v>
      </c>
      <c r="C475" s="1">
        <v>0</v>
      </c>
      <c r="D475" s="3">
        <f t="shared" si="48"/>
        <v>0</v>
      </c>
      <c r="E475" s="1">
        <v>0</v>
      </c>
      <c r="F475" s="1">
        <v>0</v>
      </c>
      <c r="G475" s="1">
        <v>-386218.39382063132</v>
      </c>
      <c r="H475">
        <f t="shared" si="43"/>
        <v>10</v>
      </c>
      <c r="I475" t="str">
        <f t="shared" si="44"/>
        <v/>
      </c>
      <c r="J475" t="str">
        <f t="shared" si="45"/>
        <v/>
      </c>
      <c r="K475" t="str">
        <f t="shared" si="46"/>
        <v/>
      </c>
      <c r="L475" t="str">
        <f t="shared" si="46"/>
        <v/>
      </c>
      <c r="M475" t="b">
        <f t="shared" si="47"/>
        <v>0</v>
      </c>
    </row>
    <row r="476" spans="1:13" ht="15.75" x14ac:dyDescent="0.3">
      <c r="A476" s="2">
        <v>45945</v>
      </c>
      <c r="B476" s="1">
        <v>0</v>
      </c>
      <c r="C476" s="1">
        <v>0</v>
      </c>
      <c r="D476" s="3">
        <f t="shared" si="48"/>
        <v>0</v>
      </c>
      <c r="E476" s="1">
        <v>0</v>
      </c>
      <c r="F476" s="1">
        <v>0</v>
      </c>
      <c r="G476" s="1">
        <v>264209.93966927862</v>
      </c>
      <c r="H476">
        <f t="shared" si="43"/>
        <v>10</v>
      </c>
      <c r="I476" t="str">
        <f t="shared" si="44"/>
        <v/>
      </c>
      <c r="J476" t="str">
        <f t="shared" si="45"/>
        <v/>
      </c>
      <c r="K476" t="str">
        <f t="shared" si="46"/>
        <v/>
      </c>
      <c r="L476" t="str">
        <f t="shared" si="46"/>
        <v/>
      </c>
      <c r="M476" t="b">
        <f t="shared" si="47"/>
        <v>0</v>
      </c>
    </row>
    <row r="477" spans="1:13" ht="15.75" x14ac:dyDescent="0.3">
      <c r="A477" s="2">
        <v>45946</v>
      </c>
      <c r="B477" s="1">
        <v>0</v>
      </c>
      <c r="C477" s="1">
        <v>0</v>
      </c>
      <c r="D477" s="3">
        <f t="shared" si="48"/>
        <v>0</v>
      </c>
      <c r="E477" s="1">
        <v>0</v>
      </c>
      <c r="F477" s="1">
        <v>0</v>
      </c>
      <c r="G477" s="1">
        <v>951247.07297137869</v>
      </c>
      <c r="H477">
        <f t="shared" si="43"/>
        <v>10</v>
      </c>
      <c r="I477" t="str">
        <f t="shared" si="44"/>
        <v/>
      </c>
      <c r="J477" t="str">
        <f t="shared" si="45"/>
        <v/>
      </c>
      <c r="K477" t="str">
        <f t="shared" si="46"/>
        <v/>
      </c>
      <c r="L477" t="str">
        <f t="shared" si="46"/>
        <v/>
      </c>
      <c r="M477" t="b">
        <f t="shared" si="47"/>
        <v>0</v>
      </c>
    </row>
    <row r="478" spans="1:13" ht="15.75" x14ac:dyDescent="0.3">
      <c r="A478" s="2">
        <v>45947</v>
      </c>
      <c r="B478" s="1">
        <v>0</v>
      </c>
      <c r="C478" s="1">
        <v>0</v>
      </c>
      <c r="D478" s="3">
        <f t="shared" si="48"/>
        <v>0</v>
      </c>
      <c r="E478" s="1">
        <v>0</v>
      </c>
      <c r="F478" s="1">
        <v>0</v>
      </c>
      <c r="G478" s="1">
        <v>1964255.905719569</v>
      </c>
      <c r="H478">
        <f t="shared" si="43"/>
        <v>10</v>
      </c>
      <c r="I478" t="str">
        <f t="shared" si="44"/>
        <v/>
      </c>
      <c r="J478" t="str">
        <f t="shared" si="45"/>
        <v/>
      </c>
      <c r="K478" t="str">
        <f t="shared" si="46"/>
        <v/>
      </c>
      <c r="L478" t="str">
        <f t="shared" si="46"/>
        <v/>
      </c>
      <c r="M478" t="b">
        <f t="shared" si="47"/>
        <v>0</v>
      </c>
    </row>
    <row r="479" spans="1:13" ht="15.75" x14ac:dyDescent="0.3">
      <c r="A479" s="2">
        <v>45950</v>
      </c>
      <c r="B479" s="1">
        <v>0</v>
      </c>
      <c r="C479" s="1">
        <v>0</v>
      </c>
      <c r="D479" s="3">
        <f t="shared" si="48"/>
        <v>0</v>
      </c>
      <c r="E479" s="1">
        <v>0</v>
      </c>
      <c r="F479" s="1">
        <v>0</v>
      </c>
      <c r="G479" s="1">
        <v>1680557.9953331789</v>
      </c>
      <c r="H479">
        <f t="shared" si="43"/>
        <v>10</v>
      </c>
      <c r="I479" t="str">
        <f t="shared" si="44"/>
        <v/>
      </c>
      <c r="J479" t="str">
        <f t="shared" si="45"/>
        <v/>
      </c>
      <c r="K479" t="str">
        <f t="shared" si="46"/>
        <v/>
      </c>
      <c r="L479" t="str">
        <f t="shared" si="46"/>
        <v/>
      </c>
      <c r="M479" t="b">
        <f t="shared" si="47"/>
        <v>0</v>
      </c>
    </row>
    <row r="480" spans="1:13" ht="15.75" x14ac:dyDescent="0.3">
      <c r="A480" s="2">
        <v>45951</v>
      </c>
      <c r="B480" s="1">
        <v>0</v>
      </c>
      <c r="C480" s="1">
        <v>0</v>
      </c>
      <c r="D480" s="3">
        <f t="shared" si="48"/>
        <v>0</v>
      </c>
      <c r="E480" s="1">
        <v>0</v>
      </c>
      <c r="F480" s="1">
        <v>0</v>
      </c>
      <c r="G480" s="1">
        <v>1931671.1900253289</v>
      </c>
      <c r="H480">
        <f t="shared" si="43"/>
        <v>10</v>
      </c>
      <c r="I480" t="str">
        <f t="shared" si="44"/>
        <v/>
      </c>
      <c r="J480" t="str">
        <f t="shared" si="45"/>
        <v/>
      </c>
      <c r="K480" t="str">
        <f t="shared" si="46"/>
        <v/>
      </c>
      <c r="L480" t="str">
        <f t="shared" si="46"/>
        <v/>
      </c>
      <c r="M480" t="b">
        <f t="shared" si="47"/>
        <v>0</v>
      </c>
    </row>
    <row r="481" spans="1:13" ht="15.75" x14ac:dyDescent="0.3">
      <c r="A481" s="2">
        <v>45952</v>
      </c>
      <c r="B481" s="1">
        <v>0</v>
      </c>
      <c r="C481" s="1">
        <v>0</v>
      </c>
      <c r="D481" s="3">
        <f t="shared" si="48"/>
        <v>0</v>
      </c>
      <c r="E481" s="1">
        <v>0</v>
      </c>
      <c r="F481" s="1">
        <v>0</v>
      </c>
      <c r="G481" s="1">
        <v>2777223.393862959</v>
      </c>
      <c r="H481">
        <f t="shared" si="43"/>
        <v>10</v>
      </c>
      <c r="I481" t="str">
        <f t="shared" si="44"/>
        <v/>
      </c>
      <c r="J481" t="str">
        <f t="shared" si="45"/>
        <v/>
      </c>
      <c r="K481" t="str">
        <f t="shared" si="46"/>
        <v/>
      </c>
      <c r="L481" t="str">
        <f t="shared" si="46"/>
        <v/>
      </c>
      <c r="M481" t="b">
        <f t="shared" si="47"/>
        <v>0</v>
      </c>
    </row>
    <row r="482" spans="1:13" ht="15.75" x14ac:dyDescent="0.3">
      <c r="A482" s="2">
        <v>45953</v>
      </c>
      <c r="B482" s="1">
        <v>0</v>
      </c>
      <c r="C482" s="1">
        <v>0</v>
      </c>
      <c r="D482" s="3">
        <f t="shared" si="48"/>
        <v>0</v>
      </c>
      <c r="E482" s="1">
        <v>0</v>
      </c>
      <c r="F482" s="1">
        <v>0</v>
      </c>
      <c r="G482" s="1">
        <v>2766300.2003027191</v>
      </c>
      <c r="H482">
        <f t="shared" si="43"/>
        <v>10</v>
      </c>
      <c r="I482" t="str">
        <f t="shared" si="44"/>
        <v/>
      </c>
      <c r="J482" t="str">
        <f t="shared" si="45"/>
        <v/>
      </c>
      <c r="K482" t="str">
        <f t="shared" si="46"/>
        <v/>
      </c>
      <c r="L482" t="str">
        <f t="shared" si="46"/>
        <v/>
      </c>
      <c r="M482" t="b">
        <f t="shared" si="47"/>
        <v>0</v>
      </c>
    </row>
    <row r="483" spans="1:13" ht="15.75" x14ac:dyDescent="0.3">
      <c r="A483" s="2">
        <v>45954</v>
      </c>
      <c r="B483" s="1">
        <v>0</v>
      </c>
      <c r="C483" s="1">
        <v>0</v>
      </c>
      <c r="D483" s="3">
        <f t="shared" si="48"/>
        <v>0</v>
      </c>
      <c r="E483" s="1">
        <v>0</v>
      </c>
      <c r="F483" s="1">
        <v>0</v>
      </c>
      <c r="G483" s="1">
        <v>3005335.709013958</v>
      </c>
      <c r="H483">
        <f t="shared" si="43"/>
        <v>10</v>
      </c>
      <c r="I483" t="str">
        <f t="shared" si="44"/>
        <v/>
      </c>
      <c r="J483" t="str">
        <f t="shared" si="45"/>
        <v/>
      </c>
      <c r="K483" t="str">
        <f t="shared" si="46"/>
        <v/>
      </c>
      <c r="L483" t="str">
        <f t="shared" si="46"/>
        <v/>
      </c>
      <c r="M483" t="b">
        <f t="shared" si="47"/>
        <v>0</v>
      </c>
    </row>
    <row r="484" spans="1:13" ht="15.75" x14ac:dyDescent="0.3">
      <c r="A484" s="2">
        <v>45957</v>
      </c>
      <c r="B484" s="1">
        <v>0</v>
      </c>
      <c r="C484" s="1">
        <v>0</v>
      </c>
      <c r="D484" s="3">
        <f t="shared" si="48"/>
        <v>0</v>
      </c>
      <c r="E484" s="1">
        <v>0</v>
      </c>
      <c r="F484" s="1">
        <v>0</v>
      </c>
      <c r="G484" s="1">
        <v>3142667.6574525391</v>
      </c>
      <c r="H484">
        <f t="shared" si="43"/>
        <v>10</v>
      </c>
      <c r="I484" t="str">
        <f t="shared" si="44"/>
        <v/>
      </c>
      <c r="J484" t="str">
        <f t="shared" si="45"/>
        <v/>
      </c>
      <c r="K484" t="str">
        <f t="shared" si="46"/>
        <v/>
      </c>
      <c r="L484" t="str">
        <f t="shared" si="46"/>
        <v/>
      </c>
      <c r="M484" t="b">
        <f t="shared" si="47"/>
        <v>0</v>
      </c>
    </row>
    <row r="485" spans="1:13" ht="15.75" x14ac:dyDescent="0.3">
      <c r="A485" s="2">
        <v>45958</v>
      </c>
      <c r="B485" s="1">
        <v>0</v>
      </c>
      <c r="C485" s="1">
        <v>0</v>
      </c>
      <c r="D485" s="3">
        <f t="shared" si="48"/>
        <v>0</v>
      </c>
      <c r="E485" s="1">
        <v>0</v>
      </c>
      <c r="F485" s="1">
        <v>0</v>
      </c>
      <c r="G485" s="1">
        <v>3931254.5032916982</v>
      </c>
      <c r="H485">
        <f t="shared" si="43"/>
        <v>10</v>
      </c>
      <c r="I485" t="str">
        <f t="shared" si="44"/>
        <v/>
      </c>
      <c r="J485" t="str">
        <f t="shared" si="45"/>
        <v/>
      </c>
      <c r="K485" t="str">
        <f t="shared" si="46"/>
        <v/>
      </c>
      <c r="L485" t="str">
        <f t="shared" si="46"/>
        <v/>
      </c>
      <c r="M485" t="b">
        <f t="shared" si="47"/>
        <v>0</v>
      </c>
    </row>
    <row r="486" spans="1:13" ht="15.75" x14ac:dyDescent="0.3">
      <c r="A486" s="2">
        <v>45959</v>
      </c>
      <c r="B486" s="1">
        <v>0</v>
      </c>
      <c r="C486" s="1">
        <v>0</v>
      </c>
      <c r="D486" s="3">
        <f t="shared" si="48"/>
        <v>0</v>
      </c>
      <c r="E486" s="1">
        <v>0</v>
      </c>
      <c r="F486" s="1">
        <v>0</v>
      </c>
      <c r="G486" s="1">
        <v>3697162.452746179</v>
      </c>
      <c r="H486">
        <f t="shared" si="43"/>
        <v>10</v>
      </c>
      <c r="I486" t="str">
        <f t="shared" si="44"/>
        <v/>
      </c>
      <c r="J486" t="str">
        <f t="shared" si="45"/>
        <v/>
      </c>
      <c r="K486" t="str">
        <f t="shared" si="46"/>
        <v/>
      </c>
      <c r="L486" t="str">
        <f t="shared" si="46"/>
        <v/>
      </c>
      <c r="M486" t="b">
        <f t="shared" si="47"/>
        <v>0</v>
      </c>
    </row>
    <row r="487" spans="1:13" ht="15.75" x14ac:dyDescent="0.3">
      <c r="A487" s="2">
        <v>45960</v>
      </c>
      <c r="B487" s="1">
        <v>0</v>
      </c>
      <c r="C487" s="1">
        <v>0</v>
      </c>
      <c r="D487" s="3">
        <f t="shared" si="48"/>
        <v>0</v>
      </c>
      <c r="E487" s="1">
        <v>0</v>
      </c>
      <c r="F487" s="1">
        <v>0</v>
      </c>
      <c r="G487" s="1">
        <v>87468.607534748648</v>
      </c>
      <c r="H487">
        <f t="shared" si="43"/>
        <v>10</v>
      </c>
      <c r="I487" t="str">
        <f t="shared" si="44"/>
        <v/>
      </c>
      <c r="J487" t="str">
        <f t="shared" si="45"/>
        <v/>
      </c>
      <c r="K487" t="str">
        <f t="shared" si="46"/>
        <v/>
      </c>
      <c r="L487" t="str">
        <f t="shared" si="46"/>
        <v/>
      </c>
      <c r="M487" t="b">
        <f t="shared" si="47"/>
        <v>0</v>
      </c>
    </row>
    <row r="488" spans="1:13" ht="15.75" x14ac:dyDescent="0.3">
      <c r="A488" s="2">
        <v>45961</v>
      </c>
      <c r="B488" s="1">
        <v>0</v>
      </c>
      <c r="C488" s="1">
        <v>0</v>
      </c>
      <c r="D488" s="3">
        <f t="shared" si="48"/>
        <v>0</v>
      </c>
      <c r="E488" s="1">
        <v>0</v>
      </c>
      <c r="F488" s="1">
        <v>0</v>
      </c>
      <c r="G488" s="1">
        <v>3595523.0600554189</v>
      </c>
      <c r="H488">
        <f t="shared" si="43"/>
        <v>10</v>
      </c>
      <c r="I488">
        <f t="shared" si="44"/>
        <v>0</v>
      </c>
      <c r="J488">
        <f t="shared" si="45"/>
        <v>0</v>
      </c>
      <c r="K488">
        <f t="shared" si="46"/>
        <v>0</v>
      </c>
      <c r="L488">
        <f t="shared" si="46"/>
        <v>3595523.0600554189</v>
      </c>
      <c r="M488" t="b">
        <f t="shared" si="47"/>
        <v>1</v>
      </c>
    </row>
    <row r="489" spans="1:13" ht="15.75" x14ac:dyDescent="0.3">
      <c r="A489" s="2">
        <v>45964</v>
      </c>
      <c r="B489" s="1">
        <v>0</v>
      </c>
      <c r="C489" s="1">
        <v>0</v>
      </c>
      <c r="D489" s="3">
        <f t="shared" si="48"/>
        <v>0</v>
      </c>
      <c r="E489" s="1">
        <v>0</v>
      </c>
      <c r="F489" s="1">
        <v>0</v>
      </c>
      <c r="G489" s="1">
        <v>3535734.6999997888</v>
      </c>
      <c r="H489">
        <f t="shared" si="43"/>
        <v>11</v>
      </c>
      <c r="I489" t="str">
        <f t="shared" si="44"/>
        <v/>
      </c>
      <c r="J489" t="str">
        <f t="shared" si="45"/>
        <v/>
      </c>
      <c r="K489" t="str">
        <f t="shared" si="46"/>
        <v/>
      </c>
      <c r="L489" t="str">
        <f t="shared" si="46"/>
        <v/>
      </c>
      <c r="M489" t="b">
        <f t="shared" si="47"/>
        <v>0</v>
      </c>
    </row>
    <row r="490" spans="1:13" ht="15.75" x14ac:dyDescent="0.3">
      <c r="A490" s="2">
        <v>45965</v>
      </c>
      <c r="B490" s="1">
        <v>0</v>
      </c>
      <c r="C490" s="1">
        <v>0</v>
      </c>
      <c r="D490" s="3">
        <f t="shared" si="48"/>
        <v>0</v>
      </c>
      <c r="E490" s="1">
        <v>0</v>
      </c>
      <c r="F490" s="1">
        <v>0</v>
      </c>
      <c r="G490" s="1">
        <v>4259504.1499930182</v>
      </c>
      <c r="H490">
        <f t="shared" si="43"/>
        <v>11</v>
      </c>
      <c r="I490" t="str">
        <f t="shared" si="44"/>
        <v/>
      </c>
      <c r="J490" t="str">
        <f t="shared" si="45"/>
        <v/>
      </c>
      <c r="K490" t="str">
        <f t="shared" si="46"/>
        <v/>
      </c>
      <c r="L490" t="str">
        <f t="shared" si="46"/>
        <v/>
      </c>
      <c r="M490" t="b">
        <f t="shared" si="47"/>
        <v>0</v>
      </c>
    </row>
    <row r="491" spans="1:13" ht="15.75" x14ac:dyDescent="0.3">
      <c r="A491" s="2">
        <v>45966</v>
      </c>
      <c r="B491" s="1">
        <v>0</v>
      </c>
      <c r="C491" s="1">
        <v>0</v>
      </c>
      <c r="D491" s="3">
        <f t="shared" si="48"/>
        <v>0</v>
      </c>
      <c r="E491" s="1">
        <v>0</v>
      </c>
      <c r="F491" s="1">
        <v>0</v>
      </c>
      <c r="G491" s="1">
        <v>3730374.027386989</v>
      </c>
      <c r="H491">
        <f t="shared" si="43"/>
        <v>11</v>
      </c>
      <c r="I491" t="str">
        <f t="shared" si="44"/>
        <v/>
      </c>
      <c r="J491" t="str">
        <f t="shared" si="45"/>
        <v/>
      </c>
      <c r="K491" t="str">
        <f t="shared" si="46"/>
        <v/>
      </c>
      <c r="L491" t="str">
        <f t="shared" si="46"/>
        <v/>
      </c>
      <c r="M491" t="b">
        <f t="shared" si="47"/>
        <v>0</v>
      </c>
    </row>
    <row r="492" spans="1:13" ht="15.75" x14ac:dyDescent="0.3">
      <c r="A492" s="2">
        <v>45968</v>
      </c>
      <c r="B492" s="1">
        <v>0</v>
      </c>
      <c r="C492" s="1">
        <v>0</v>
      </c>
      <c r="D492" s="3">
        <f t="shared" si="48"/>
        <v>0</v>
      </c>
      <c r="E492" s="1">
        <v>0</v>
      </c>
      <c r="F492" s="1">
        <v>0</v>
      </c>
      <c r="G492" s="1">
        <v>2919692.558592489</v>
      </c>
      <c r="H492">
        <f t="shared" si="43"/>
        <v>11</v>
      </c>
      <c r="I492" t="str">
        <f t="shared" si="44"/>
        <v/>
      </c>
      <c r="J492" t="str">
        <f t="shared" si="45"/>
        <v/>
      </c>
      <c r="K492" t="str">
        <f t="shared" si="46"/>
        <v/>
      </c>
      <c r="L492" t="str">
        <f t="shared" si="46"/>
        <v/>
      </c>
      <c r="M492" t="b">
        <f t="shared" si="47"/>
        <v>0</v>
      </c>
    </row>
    <row r="493" spans="1:13" ht="15.75" x14ac:dyDescent="0.3">
      <c r="A493" s="2">
        <v>45971</v>
      </c>
      <c r="B493" s="1">
        <v>0</v>
      </c>
      <c r="C493" s="1">
        <v>0</v>
      </c>
      <c r="D493" s="3">
        <f t="shared" si="48"/>
        <v>0</v>
      </c>
      <c r="E493" s="1">
        <v>0</v>
      </c>
      <c r="F493" s="1">
        <v>0</v>
      </c>
      <c r="G493" s="1">
        <v>2111641.5151907192</v>
      </c>
      <c r="H493">
        <f t="shared" si="43"/>
        <v>11</v>
      </c>
      <c r="I493" t="str">
        <f t="shared" si="44"/>
        <v/>
      </c>
      <c r="J493" t="str">
        <f t="shared" si="45"/>
        <v/>
      </c>
      <c r="K493" t="str">
        <f t="shared" si="46"/>
        <v/>
      </c>
      <c r="L493" t="str">
        <f t="shared" si="46"/>
        <v/>
      </c>
      <c r="M493" t="b">
        <f t="shared" si="47"/>
        <v>0</v>
      </c>
    </row>
    <row r="494" spans="1:13" ht="15.75" x14ac:dyDescent="0.3">
      <c r="A494" s="2">
        <v>45972</v>
      </c>
      <c r="B494" s="1">
        <v>0</v>
      </c>
      <c r="C494" s="1">
        <v>0</v>
      </c>
      <c r="D494" s="3">
        <f t="shared" si="48"/>
        <v>0</v>
      </c>
      <c r="E494" s="1">
        <v>0</v>
      </c>
      <c r="F494" s="1">
        <v>0</v>
      </c>
      <c r="G494" s="1">
        <v>3709013.8280222882</v>
      </c>
      <c r="H494">
        <f t="shared" si="43"/>
        <v>11</v>
      </c>
      <c r="I494" t="str">
        <f t="shared" si="44"/>
        <v/>
      </c>
      <c r="J494" t="str">
        <f t="shared" si="45"/>
        <v/>
      </c>
      <c r="K494" t="str">
        <f t="shared" si="46"/>
        <v/>
      </c>
      <c r="L494" t="str">
        <f t="shared" si="46"/>
        <v/>
      </c>
      <c r="M494" t="b">
        <f t="shared" si="47"/>
        <v>0</v>
      </c>
    </row>
    <row r="495" spans="1:13" ht="15.75" x14ac:dyDescent="0.3">
      <c r="A495" s="2">
        <v>45973</v>
      </c>
      <c r="B495" s="1">
        <v>0</v>
      </c>
      <c r="C495" s="1">
        <v>0</v>
      </c>
      <c r="D495" s="3">
        <f t="shared" si="48"/>
        <v>0</v>
      </c>
      <c r="E495" s="1">
        <v>0</v>
      </c>
      <c r="F495" s="1">
        <v>0</v>
      </c>
      <c r="G495" s="1">
        <v>3440041.3580280091</v>
      </c>
      <c r="H495">
        <f t="shared" si="43"/>
        <v>11</v>
      </c>
      <c r="I495" t="str">
        <f t="shared" si="44"/>
        <v/>
      </c>
      <c r="J495" t="str">
        <f t="shared" si="45"/>
        <v/>
      </c>
      <c r="K495" t="str">
        <f t="shared" si="46"/>
        <v/>
      </c>
      <c r="L495" t="str">
        <f t="shared" si="46"/>
        <v/>
      </c>
      <c r="M495" t="b">
        <f t="shared" si="47"/>
        <v>0</v>
      </c>
    </row>
    <row r="496" spans="1:13" ht="15.75" x14ac:dyDescent="0.3">
      <c r="A496" s="2">
        <v>45974</v>
      </c>
      <c r="B496" s="1">
        <v>0</v>
      </c>
      <c r="C496" s="1">
        <v>0</v>
      </c>
      <c r="D496" s="3">
        <f t="shared" si="48"/>
        <v>0</v>
      </c>
      <c r="E496" s="1">
        <v>0</v>
      </c>
      <c r="F496" s="1">
        <v>0</v>
      </c>
      <c r="G496" s="1">
        <v>3852406.8547360091</v>
      </c>
      <c r="H496">
        <f t="shared" si="43"/>
        <v>11</v>
      </c>
      <c r="I496" t="str">
        <f t="shared" si="44"/>
        <v/>
      </c>
      <c r="J496" t="str">
        <f t="shared" si="45"/>
        <v/>
      </c>
      <c r="K496" t="str">
        <f t="shared" si="46"/>
        <v/>
      </c>
      <c r="L496" t="str">
        <f t="shared" si="46"/>
        <v/>
      </c>
      <c r="M496" t="b">
        <f t="shared" si="47"/>
        <v>0</v>
      </c>
    </row>
    <row r="497" spans="1:13" ht="15.75" x14ac:dyDescent="0.3">
      <c r="A497" s="2">
        <v>45975</v>
      </c>
      <c r="B497" s="1">
        <v>0</v>
      </c>
      <c r="C497" s="1">
        <v>0</v>
      </c>
      <c r="D497" s="3">
        <f t="shared" si="48"/>
        <v>0</v>
      </c>
      <c r="E497" s="1">
        <v>0</v>
      </c>
      <c r="F497" s="1">
        <v>0</v>
      </c>
      <c r="G497" s="1">
        <v>3502067.579367619</v>
      </c>
      <c r="H497">
        <f t="shared" si="43"/>
        <v>11</v>
      </c>
      <c r="I497" t="str">
        <f t="shared" si="44"/>
        <v/>
      </c>
      <c r="J497" t="str">
        <f t="shared" si="45"/>
        <v/>
      </c>
      <c r="K497" t="str">
        <f t="shared" si="46"/>
        <v/>
      </c>
      <c r="L497" t="str">
        <f t="shared" si="46"/>
        <v/>
      </c>
      <c r="M497" t="b">
        <f t="shared" si="47"/>
        <v>0</v>
      </c>
    </row>
    <row r="498" spans="1:13" ht="15.75" x14ac:dyDescent="0.3">
      <c r="A498" s="2">
        <v>45978</v>
      </c>
      <c r="B498" s="1">
        <v>0</v>
      </c>
      <c r="C498" s="1">
        <v>0</v>
      </c>
      <c r="D498" s="3">
        <f t="shared" si="48"/>
        <v>0</v>
      </c>
      <c r="E498" s="1">
        <v>0</v>
      </c>
      <c r="F498" s="1">
        <v>0</v>
      </c>
      <c r="G498" s="1">
        <v>2949196.069099579</v>
      </c>
      <c r="H498">
        <f t="shared" si="43"/>
        <v>11</v>
      </c>
      <c r="I498" t="str">
        <f t="shared" si="44"/>
        <v/>
      </c>
      <c r="J498" t="str">
        <f t="shared" si="45"/>
        <v/>
      </c>
      <c r="K498" t="str">
        <f t="shared" si="46"/>
        <v/>
      </c>
      <c r="L498" t="str">
        <f t="shared" si="46"/>
        <v/>
      </c>
      <c r="M498" t="b">
        <f t="shared" si="47"/>
        <v>0</v>
      </c>
    </row>
    <row r="499" spans="1:13" ht="15.75" x14ac:dyDescent="0.3">
      <c r="A499" s="2">
        <v>45979</v>
      </c>
      <c r="B499" s="1">
        <v>0</v>
      </c>
      <c r="C499" s="1">
        <v>0</v>
      </c>
      <c r="D499" s="3">
        <f t="shared" si="48"/>
        <v>0</v>
      </c>
      <c r="E499" s="1">
        <v>0</v>
      </c>
      <c r="F499" s="1">
        <v>0</v>
      </c>
      <c r="G499" s="1">
        <v>3370178.9005011292</v>
      </c>
      <c r="H499">
        <f t="shared" si="43"/>
        <v>11</v>
      </c>
      <c r="I499" t="str">
        <f t="shared" si="44"/>
        <v/>
      </c>
      <c r="J499" t="str">
        <f t="shared" si="45"/>
        <v/>
      </c>
      <c r="K499" t="str">
        <f t="shared" si="46"/>
        <v/>
      </c>
      <c r="L499" t="str">
        <f t="shared" si="46"/>
        <v/>
      </c>
      <c r="M499" t="b">
        <f t="shared" si="47"/>
        <v>0</v>
      </c>
    </row>
    <row r="500" spans="1:13" ht="15.75" x14ac:dyDescent="0.3">
      <c r="A500" s="2">
        <v>45980</v>
      </c>
      <c r="B500" s="1">
        <v>0</v>
      </c>
      <c r="C500" s="1">
        <v>0</v>
      </c>
      <c r="D500" s="3">
        <f t="shared" si="48"/>
        <v>0</v>
      </c>
      <c r="E500" s="1">
        <v>0</v>
      </c>
      <c r="F500" s="1">
        <v>0</v>
      </c>
      <c r="G500" s="1">
        <v>3525736.058501719</v>
      </c>
      <c r="H500">
        <f t="shared" si="43"/>
        <v>11</v>
      </c>
      <c r="I500">
        <f t="shared" si="44"/>
        <v>0</v>
      </c>
      <c r="J500">
        <f t="shared" si="45"/>
        <v>0</v>
      </c>
      <c r="K500">
        <f t="shared" si="46"/>
        <v>0</v>
      </c>
      <c r="L500">
        <f t="shared" si="46"/>
        <v>3525736.058501719</v>
      </c>
      <c r="M500" t="b">
        <f t="shared" si="47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B8E1-1C66-49D8-91B8-A1364794B641}">
  <dimension ref="A1:X27"/>
  <sheetViews>
    <sheetView topLeftCell="L1" workbookViewId="0">
      <selection activeCell="Q26" sqref="Q26"/>
    </sheetView>
  </sheetViews>
  <sheetFormatPr baseColWidth="10" defaultRowHeight="15" x14ac:dyDescent="0.25"/>
  <cols>
    <col min="10" max="10" width="12.5703125" bestFit="1" customWidth="1"/>
  </cols>
  <sheetData>
    <row r="1" spans="1:24" x14ac:dyDescent="0.25">
      <c r="P1">
        <v>1</v>
      </c>
      <c r="Q1">
        <v>2</v>
      </c>
      <c r="R1">
        <v>3</v>
      </c>
      <c r="S1">
        <v>4</v>
      </c>
      <c r="T1">
        <v>5</v>
      </c>
      <c r="U1">
        <v>6</v>
      </c>
      <c r="V1">
        <v>7</v>
      </c>
      <c r="W1">
        <v>8</v>
      </c>
      <c r="X1">
        <v>9</v>
      </c>
    </row>
    <row r="2" spans="1:24" x14ac:dyDescent="0.25">
      <c r="B2" s="4" t="s">
        <v>5</v>
      </c>
      <c r="C2" s="4" t="s">
        <v>4</v>
      </c>
      <c r="D2" s="4" t="s">
        <v>3</v>
      </c>
      <c r="E2" s="4" t="s">
        <v>0</v>
      </c>
      <c r="F2" s="4" t="s">
        <v>7</v>
      </c>
      <c r="G2" s="4" t="s">
        <v>8</v>
      </c>
      <c r="H2" s="4" t="s">
        <v>17</v>
      </c>
      <c r="I2" s="4" t="s">
        <v>34</v>
      </c>
      <c r="J2" s="4" t="s">
        <v>10</v>
      </c>
      <c r="K2" s="4" t="s">
        <v>9</v>
      </c>
      <c r="L2" s="4" t="s">
        <v>11</v>
      </c>
      <c r="M2" s="4" t="s">
        <v>11</v>
      </c>
      <c r="N2" s="4"/>
      <c r="O2" s="4" t="s">
        <v>21</v>
      </c>
      <c r="P2" s="4" t="s">
        <v>10</v>
      </c>
      <c r="Q2" s="4" t="s">
        <v>9</v>
      </c>
      <c r="R2" s="4" t="s">
        <v>12</v>
      </c>
      <c r="S2" s="4" t="s">
        <v>13</v>
      </c>
      <c r="T2" s="4" t="s">
        <v>14</v>
      </c>
      <c r="U2" s="4" t="s">
        <v>15</v>
      </c>
      <c r="V2" s="4" t="s">
        <v>16</v>
      </c>
      <c r="W2" s="4" t="s">
        <v>19</v>
      </c>
      <c r="X2" s="4" t="s">
        <v>20</v>
      </c>
    </row>
    <row r="3" spans="1:24" x14ac:dyDescent="0.25">
      <c r="A3" s="5">
        <v>45231</v>
      </c>
      <c r="B3">
        <v>11</v>
      </c>
      <c r="C3">
        <v>14699956</v>
      </c>
      <c r="D3">
        <v>7529063.4772190005</v>
      </c>
      <c r="E3">
        <v>0</v>
      </c>
      <c r="F3" s="6">
        <f>+(C3+D3)/1000000</f>
        <v>22.229019477219001</v>
      </c>
      <c r="G3" s="6">
        <f>E3/1000000</f>
        <v>0</v>
      </c>
      <c r="H3" s="6">
        <v>0</v>
      </c>
      <c r="I3" s="6">
        <f>+H3/1000000</f>
        <v>0</v>
      </c>
      <c r="J3">
        <v>4679610</v>
      </c>
      <c r="K3">
        <v>5151530</v>
      </c>
      <c r="L3">
        <v>2816.0628000000002</v>
      </c>
      <c r="M3">
        <v>100</v>
      </c>
      <c r="O3" s="5">
        <f>+A3</f>
        <v>45231</v>
      </c>
      <c r="P3" s="7">
        <f t="shared" ref="P3:P26" si="0">+(J3/$M3*$M$3)/J$3*100</f>
        <v>100</v>
      </c>
      <c r="Q3" s="7">
        <f t="shared" ref="Q3:Q26" si="1">+(K3/$M3*$M$3)/K$3*100</f>
        <v>100</v>
      </c>
      <c r="R3" s="6">
        <f>+F3</f>
        <v>22.229019477219001</v>
      </c>
      <c r="S3" s="6">
        <f>+G3</f>
        <v>0</v>
      </c>
      <c r="T3" s="6">
        <f>+R3+S3</f>
        <v>22.229019477219001</v>
      </c>
      <c r="U3" s="6">
        <f>+T3/M3*$M$3</f>
        <v>22.229019477219001</v>
      </c>
      <c r="V3">
        <v>100</v>
      </c>
      <c r="W3" s="6">
        <f>+I3</f>
        <v>0</v>
      </c>
      <c r="X3" s="6">
        <f>+W3/M3*$M$3</f>
        <v>0</v>
      </c>
    </row>
    <row r="4" spans="1:24" x14ac:dyDescent="0.25">
      <c r="A4" s="5">
        <v>45261</v>
      </c>
      <c r="B4">
        <v>12</v>
      </c>
      <c r="C4">
        <v>24150281</v>
      </c>
      <c r="D4">
        <v>1636551.138089</v>
      </c>
      <c r="E4">
        <v>0</v>
      </c>
      <c r="F4" s="6">
        <f t="shared" ref="F4:F27" si="2">+(C4+D4)/1000000</f>
        <v>25.786832138089</v>
      </c>
      <c r="G4" s="6">
        <f t="shared" ref="G4:G27" si="3">E4/1000000</f>
        <v>0</v>
      </c>
      <c r="H4" s="6">
        <v>0</v>
      </c>
      <c r="I4" s="6">
        <f t="shared" ref="I4:I27" si="4">+H4/1000000</f>
        <v>0</v>
      </c>
      <c r="J4">
        <v>5922690</v>
      </c>
      <c r="K4">
        <v>8514490</v>
      </c>
      <c r="L4">
        <v>3533.1922</v>
      </c>
      <c r="M4">
        <f t="shared" ref="M4:M26" si="5">+L4*$M$3/$L$3</f>
        <v>125.46567498423684</v>
      </c>
      <c r="O4" s="5">
        <f t="shared" ref="O4:O26" si="6">+A4</f>
        <v>45261</v>
      </c>
      <c r="P4" s="7">
        <f t="shared" si="0"/>
        <v>100.8752012241185</v>
      </c>
      <c r="Q4" s="7">
        <f t="shared" si="1"/>
        <v>131.73387868335581</v>
      </c>
      <c r="R4" s="6">
        <f t="shared" ref="R4:R26" si="7">+F4</f>
        <v>25.786832138089</v>
      </c>
      <c r="S4" s="6">
        <f t="shared" ref="S4:S26" si="8">+G4</f>
        <v>0</v>
      </c>
      <c r="T4" s="6">
        <f t="shared" ref="T4:T26" si="9">+R4+S4</f>
        <v>25.786832138089</v>
      </c>
      <c r="U4" s="6">
        <f t="shared" ref="U4:U26" si="10">+T4/M4*$M$3</f>
        <v>20.552897947051086</v>
      </c>
      <c r="V4" s="6">
        <f>+U4*$V$3/$U$3</f>
        <v>92.459759496429186</v>
      </c>
      <c r="W4" s="6">
        <f t="shared" ref="W4:W26" si="11">+I4</f>
        <v>0</v>
      </c>
      <c r="X4" s="6">
        <f t="shared" ref="X4:X26" si="12">+W4/M4*$M$3</f>
        <v>0</v>
      </c>
    </row>
    <row r="5" spans="1:24" x14ac:dyDescent="0.25">
      <c r="A5" s="5">
        <v>45292</v>
      </c>
      <c r="B5">
        <v>1</v>
      </c>
      <c r="C5">
        <v>29875001</v>
      </c>
      <c r="D5">
        <v>5150</v>
      </c>
      <c r="E5">
        <v>0</v>
      </c>
      <c r="F5" s="6">
        <f t="shared" si="2"/>
        <v>29.880151000000001</v>
      </c>
      <c r="G5" s="6">
        <f t="shared" si="3"/>
        <v>0</v>
      </c>
      <c r="H5" s="6">
        <v>0</v>
      </c>
      <c r="I5" s="6">
        <f t="shared" si="4"/>
        <v>0</v>
      </c>
      <c r="J5">
        <v>7699890</v>
      </c>
      <c r="K5">
        <v>4739150</v>
      </c>
      <c r="L5">
        <v>4261.5324000000001</v>
      </c>
      <c r="M5">
        <f t="shared" si="5"/>
        <v>151.32945188580311</v>
      </c>
      <c r="O5" s="5">
        <f t="shared" si="6"/>
        <v>45292</v>
      </c>
      <c r="P5" s="7">
        <f t="shared" si="0"/>
        <v>108.73050409230358</v>
      </c>
      <c r="Q5" s="7">
        <f t="shared" si="1"/>
        <v>60.791206468682986</v>
      </c>
      <c r="R5" s="6">
        <f t="shared" si="7"/>
        <v>29.880151000000001</v>
      </c>
      <c r="S5" s="6">
        <f t="shared" si="8"/>
        <v>0</v>
      </c>
      <c r="T5" s="6">
        <f t="shared" si="9"/>
        <v>29.880151000000001</v>
      </c>
      <c r="U5" s="6">
        <f t="shared" si="10"/>
        <v>19.745099600670127</v>
      </c>
      <c r="V5" s="6">
        <f t="shared" ref="V5:V26" si="13">+U5*$V$3/$U$3</f>
        <v>88.825778487015697</v>
      </c>
      <c r="W5" s="6">
        <f t="shared" si="11"/>
        <v>0</v>
      </c>
      <c r="X5" s="6">
        <f t="shared" si="12"/>
        <v>0</v>
      </c>
    </row>
    <row r="6" spans="1:24" x14ac:dyDescent="0.25">
      <c r="A6" s="5">
        <v>45323</v>
      </c>
      <c r="B6">
        <v>2</v>
      </c>
      <c r="C6">
        <v>28046328</v>
      </c>
      <c r="D6">
        <v>3000</v>
      </c>
      <c r="E6">
        <v>0</v>
      </c>
      <c r="F6" s="6">
        <f t="shared" si="2"/>
        <v>28.049327999999999</v>
      </c>
      <c r="G6" s="6">
        <f t="shared" si="3"/>
        <v>0</v>
      </c>
      <c r="H6" s="6">
        <v>0</v>
      </c>
      <c r="I6" s="6">
        <f t="shared" si="4"/>
        <v>0</v>
      </c>
      <c r="J6">
        <v>7249310</v>
      </c>
      <c r="K6">
        <v>5085320</v>
      </c>
      <c r="L6">
        <v>4825.7880999999998</v>
      </c>
      <c r="M6">
        <f t="shared" si="5"/>
        <v>171.36649438357693</v>
      </c>
      <c r="O6" s="5">
        <f t="shared" si="6"/>
        <v>45323</v>
      </c>
      <c r="P6" s="7">
        <f t="shared" si="0"/>
        <v>90.3984739101614</v>
      </c>
      <c r="Q6" s="7">
        <f t="shared" si="1"/>
        <v>57.604464115609453</v>
      </c>
      <c r="R6" s="6">
        <f t="shared" si="7"/>
        <v>28.049327999999999</v>
      </c>
      <c r="S6" s="6">
        <f t="shared" si="8"/>
        <v>0</v>
      </c>
      <c r="T6" s="6">
        <f t="shared" si="9"/>
        <v>28.049327999999999</v>
      </c>
      <c r="U6" s="6">
        <f t="shared" si="10"/>
        <v>16.368035128976839</v>
      </c>
      <c r="V6" s="6">
        <f t="shared" si="13"/>
        <v>73.633635283604463</v>
      </c>
      <c r="W6" s="6">
        <f t="shared" si="11"/>
        <v>0</v>
      </c>
      <c r="X6" s="6">
        <f t="shared" si="12"/>
        <v>0</v>
      </c>
    </row>
    <row r="7" spans="1:24" x14ac:dyDescent="0.25">
      <c r="A7" s="5">
        <v>45352</v>
      </c>
      <c r="B7">
        <v>3</v>
      </c>
      <c r="C7">
        <v>30791842</v>
      </c>
      <c r="D7">
        <v>0</v>
      </c>
      <c r="E7">
        <v>0</v>
      </c>
      <c r="F7" s="6">
        <f t="shared" si="2"/>
        <v>30.791841999999999</v>
      </c>
      <c r="G7" s="6">
        <f t="shared" si="3"/>
        <v>0</v>
      </c>
      <c r="H7" s="6">
        <v>0</v>
      </c>
      <c r="I7" s="6">
        <f t="shared" si="4"/>
        <v>0</v>
      </c>
      <c r="J7">
        <v>7726460</v>
      </c>
      <c r="K7">
        <v>6385850</v>
      </c>
      <c r="L7">
        <v>5357.0928999999996</v>
      </c>
      <c r="M7">
        <f t="shared" si="5"/>
        <v>190.2334315839831</v>
      </c>
      <c r="O7" s="5">
        <f t="shared" si="6"/>
        <v>45352</v>
      </c>
      <c r="P7" s="7">
        <f t="shared" si="0"/>
        <v>86.792871714872007</v>
      </c>
      <c r="Q7" s="7">
        <f t="shared" si="1"/>
        <v>65.162184857666617</v>
      </c>
      <c r="R7" s="6">
        <f t="shared" si="7"/>
        <v>30.791841999999999</v>
      </c>
      <c r="S7" s="6">
        <f t="shared" si="8"/>
        <v>0</v>
      </c>
      <c r="T7" s="6">
        <f t="shared" si="9"/>
        <v>30.791841999999999</v>
      </c>
      <c r="U7" s="6">
        <f t="shared" si="10"/>
        <v>16.186346292347782</v>
      </c>
      <c r="V7" s="6">
        <f t="shared" si="13"/>
        <v>72.816285526836026</v>
      </c>
      <c r="W7" s="6">
        <f t="shared" si="11"/>
        <v>0</v>
      </c>
      <c r="X7" s="6">
        <f t="shared" si="12"/>
        <v>0</v>
      </c>
    </row>
    <row r="8" spans="1:24" x14ac:dyDescent="0.25">
      <c r="A8" s="5">
        <v>45383</v>
      </c>
      <c r="B8">
        <v>4</v>
      </c>
      <c r="C8">
        <v>32712831</v>
      </c>
      <c r="D8">
        <v>0</v>
      </c>
      <c r="E8">
        <v>0</v>
      </c>
      <c r="F8" s="6">
        <f t="shared" si="2"/>
        <v>32.712831000000001</v>
      </c>
      <c r="G8" s="6">
        <f t="shared" si="3"/>
        <v>0</v>
      </c>
      <c r="H8" s="6">
        <v>0</v>
      </c>
      <c r="I8" s="6">
        <f t="shared" si="4"/>
        <v>0</v>
      </c>
      <c r="J8">
        <v>8663810</v>
      </c>
      <c r="K8">
        <v>7625760</v>
      </c>
      <c r="L8">
        <v>5830.2271000000001</v>
      </c>
      <c r="M8">
        <f t="shared" si="5"/>
        <v>207.03469752166035</v>
      </c>
      <c r="O8" s="5">
        <f t="shared" si="6"/>
        <v>45383</v>
      </c>
      <c r="P8" s="7">
        <f t="shared" si="0"/>
        <v>89.424418135310574</v>
      </c>
      <c r="Q8" s="7">
        <f t="shared" si="1"/>
        <v>71.499624905205152</v>
      </c>
      <c r="R8" s="6">
        <f t="shared" si="7"/>
        <v>32.712831000000001</v>
      </c>
      <c r="S8" s="6">
        <f t="shared" si="8"/>
        <v>0</v>
      </c>
      <c r="T8" s="6">
        <f t="shared" si="9"/>
        <v>32.712831000000001</v>
      </c>
      <c r="U8" s="6">
        <f t="shared" si="10"/>
        <v>15.800651480932332</v>
      </c>
      <c r="V8" s="6">
        <f t="shared" si="13"/>
        <v>71.081189600491996</v>
      </c>
      <c r="W8" s="6">
        <f t="shared" si="11"/>
        <v>0</v>
      </c>
      <c r="X8" s="6">
        <f t="shared" si="12"/>
        <v>0</v>
      </c>
    </row>
    <row r="9" spans="1:24" x14ac:dyDescent="0.25">
      <c r="A9" s="5">
        <v>45413</v>
      </c>
      <c r="B9">
        <v>5</v>
      </c>
      <c r="C9">
        <v>18489248</v>
      </c>
      <c r="D9">
        <v>0</v>
      </c>
      <c r="E9">
        <v>0</v>
      </c>
      <c r="F9" s="6">
        <f t="shared" si="2"/>
        <v>18.489248</v>
      </c>
      <c r="G9" s="6">
        <f t="shared" si="3"/>
        <v>0</v>
      </c>
      <c r="H9" s="6">
        <v>0</v>
      </c>
      <c r="I9" s="6">
        <f t="shared" si="4"/>
        <v>0</v>
      </c>
      <c r="J9">
        <v>13379400</v>
      </c>
      <c r="K9">
        <v>8148500</v>
      </c>
      <c r="L9">
        <v>6073.7165000000005</v>
      </c>
      <c r="M9">
        <f t="shared" si="5"/>
        <v>215.68114532104894</v>
      </c>
      <c r="O9" s="5">
        <f t="shared" si="6"/>
        <v>45413</v>
      </c>
      <c r="P9" s="7">
        <f t="shared" si="0"/>
        <v>132.56070235645987</v>
      </c>
      <c r="Q9" s="7">
        <f t="shared" si="1"/>
        <v>73.338032654863056</v>
      </c>
      <c r="R9" s="6">
        <f t="shared" si="7"/>
        <v>18.489248</v>
      </c>
      <c r="S9" s="6">
        <f t="shared" si="8"/>
        <v>0</v>
      </c>
      <c r="T9" s="6">
        <f t="shared" si="9"/>
        <v>18.489248</v>
      </c>
      <c r="U9" s="6">
        <f t="shared" si="10"/>
        <v>8.5724915696632209</v>
      </c>
      <c r="V9" s="6">
        <f t="shared" si="13"/>
        <v>38.564416115828138</v>
      </c>
      <c r="W9" s="6">
        <f t="shared" si="11"/>
        <v>0</v>
      </c>
      <c r="X9" s="6">
        <f t="shared" si="12"/>
        <v>0</v>
      </c>
    </row>
    <row r="10" spans="1:24" x14ac:dyDescent="0.25">
      <c r="A10" s="5">
        <v>45444</v>
      </c>
      <c r="B10">
        <v>6</v>
      </c>
      <c r="C10">
        <v>15880749</v>
      </c>
      <c r="D10">
        <v>0</v>
      </c>
      <c r="E10">
        <v>0</v>
      </c>
      <c r="F10" s="6">
        <f t="shared" si="2"/>
        <v>15.880749</v>
      </c>
      <c r="G10" s="6">
        <f t="shared" si="3"/>
        <v>0</v>
      </c>
      <c r="H10" s="6">
        <v>0</v>
      </c>
      <c r="I10" s="6">
        <f t="shared" si="4"/>
        <v>0</v>
      </c>
      <c r="J10">
        <v>11297600</v>
      </c>
      <c r="K10">
        <v>10451200</v>
      </c>
      <c r="L10">
        <v>6351.7145</v>
      </c>
      <c r="M10">
        <f t="shared" si="5"/>
        <v>225.55301323535821</v>
      </c>
      <c r="O10" s="5">
        <f t="shared" si="6"/>
        <v>45444</v>
      </c>
      <c r="P10" s="7">
        <f t="shared" si="0"/>
        <v>107.03551436728083</v>
      </c>
      <c r="Q10" s="7">
        <f t="shared" si="1"/>
        <v>89.945883508634225</v>
      </c>
      <c r="R10" s="6">
        <f t="shared" si="7"/>
        <v>15.880749</v>
      </c>
      <c r="S10" s="6">
        <f t="shared" si="8"/>
        <v>0</v>
      </c>
      <c r="T10" s="6">
        <f t="shared" si="9"/>
        <v>15.880749</v>
      </c>
      <c r="U10" s="6">
        <f t="shared" si="10"/>
        <v>7.0408055171618953</v>
      </c>
      <c r="V10" s="6">
        <f t="shared" si="13"/>
        <v>31.673936515182483</v>
      </c>
      <c r="W10" s="6">
        <f t="shared" si="11"/>
        <v>0</v>
      </c>
      <c r="X10" s="6">
        <f t="shared" si="12"/>
        <v>0</v>
      </c>
    </row>
    <row r="11" spans="1:24" x14ac:dyDescent="0.25">
      <c r="A11" s="5">
        <v>45474</v>
      </c>
      <c r="B11">
        <v>7</v>
      </c>
      <c r="C11">
        <v>0</v>
      </c>
      <c r="D11">
        <v>0</v>
      </c>
      <c r="E11">
        <v>9604955.4541206937</v>
      </c>
      <c r="F11" s="6">
        <f t="shared" si="2"/>
        <v>0</v>
      </c>
      <c r="G11" s="6">
        <f t="shared" si="3"/>
        <v>9.6049554541206934</v>
      </c>
      <c r="H11" s="6">
        <v>0</v>
      </c>
      <c r="I11" s="6">
        <f t="shared" si="4"/>
        <v>0</v>
      </c>
      <c r="J11">
        <v>11910500</v>
      </c>
      <c r="K11">
        <v>9960450</v>
      </c>
      <c r="L11">
        <v>6607.7479000000003</v>
      </c>
      <c r="M11">
        <f t="shared" si="5"/>
        <v>234.64490564628034</v>
      </c>
      <c r="O11" s="5">
        <f t="shared" si="6"/>
        <v>45474</v>
      </c>
      <c r="P11" s="7">
        <f t="shared" si="0"/>
        <v>108.4698909058383</v>
      </c>
      <c r="Q11" s="7">
        <f t="shared" si="1"/>
        <v>82.400831985286459</v>
      </c>
      <c r="R11" s="6">
        <f t="shared" si="7"/>
        <v>0</v>
      </c>
      <c r="S11" s="6">
        <f t="shared" si="8"/>
        <v>9.6049554541206934</v>
      </c>
      <c r="T11" s="6">
        <f t="shared" si="9"/>
        <v>9.6049554541206934</v>
      </c>
      <c r="U11" s="6">
        <f t="shared" si="10"/>
        <v>4.0934003777605366</v>
      </c>
      <c r="V11" s="6">
        <f t="shared" si="13"/>
        <v>18.414669085856808</v>
      </c>
      <c r="W11" s="6">
        <f t="shared" si="11"/>
        <v>0</v>
      </c>
      <c r="X11" s="6">
        <f t="shared" si="12"/>
        <v>0</v>
      </c>
    </row>
    <row r="12" spans="1:24" x14ac:dyDescent="0.25">
      <c r="A12" s="5">
        <v>45505</v>
      </c>
      <c r="B12">
        <v>8</v>
      </c>
      <c r="C12">
        <v>0</v>
      </c>
      <c r="D12">
        <v>0</v>
      </c>
      <c r="E12">
        <v>8828310.7246338185</v>
      </c>
      <c r="F12" s="6">
        <f t="shared" si="2"/>
        <v>0</v>
      </c>
      <c r="G12" s="6">
        <f t="shared" si="3"/>
        <v>8.8283107246338179</v>
      </c>
      <c r="H12" s="6">
        <v>0</v>
      </c>
      <c r="I12" s="6">
        <f t="shared" si="4"/>
        <v>0</v>
      </c>
      <c r="J12">
        <v>11764100</v>
      </c>
      <c r="K12">
        <v>9399770</v>
      </c>
      <c r="L12">
        <v>6883.4412000000002</v>
      </c>
      <c r="M12">
        <f t="shared" si="5"/>
        <v>244.43493234596897</v>
      </c>
      <c r="O12" s="5">
        <f t="shared" si="6"/>
        <v>45505</v>
      </c>
      <c r="P12" s="7">
        <f t="shared" si="0"/>
        <v>102.8456141371489</v>
      </c>
      <c r="Q12" s="7">
        <f t="shared" si="1"/>
        <v>74.647921983958184</v>
      </c>
      <c r="R12" s="6">
        <f t="shared" si="7"/>
        <v>0</v>
      </c>
      <c r="S12" s="6">
        <f t="shared" si="8"/>
        <v>8.8283107246338179</v>
      </c>
      <c r="T12" s="6">
        <f t="shared" si="9"/>
        <v>8.8283107246338179</v>
      </c>
      <c r="U12" s="6">
        <f t="shared" si="10"/>
        <v>3.6117222034935579</v>
      </c>
      <c r="V12" s="6">
        <f t="shared" si="13"/>
        <v>16.247780102019185</v>
      </c>
      <c r="W12" s="6">
        <f t="shared" si="11"/>
        <v>0</v>
      </c>
      <c r="X12" s="6">
        <f t="shared" si="12"/>
        <v>0</v>
      </c>
    </row>
    <row r="13" spans="1:24" x14ac:dyDescent="0.25">
      <c r="A13" s="5">
        <v>45536</v>
      </c>
      <c r="B13">
        <v>9</v>
      </c>
      <c r="C13">
        <v>-164436</v>
      </c>
      <c r="D13">
        <v>0</v>
      </c>
      <c r="E13">
        <v>11143865.18303797</v>
      </c>
      <c r="F13" s="6">
        <f t="shared" si="2"/>
        <v>-0.164436</v>
      </c>
      <c r="G13" s="6">
        <f t="shared" si="3"/>
        <v>11.14386518303797</v>
      </c>
      <c r="H13" s="6">
        <v>0</v>
      </c>
      <c r="I13" s="6">
        <f t="shared" si="4"/>
        <v>0</v>
      </c>
      <c r="J13">
        <v>12844500</v>
      </c>
      <c r="K13">
        <v>9828970</v>
      </c>
      <c r="L13">
        <v>7122.2421000000004</v>
      </c>
      <c r="M13">
        <f t="shared" si="5"/>
        <v>252.91488882989401</v>
      </c>
      <c r="O13" s="5">
        <f t="shared" si="6"/>
        <v>45536</v>
      </c>
      <c r="P13" s="7">
        <f t="shared" si="0"/>
        <v>108.52583754233551</v>
      </c>
      <c r="Q13" s="7">
        <f t="shared" si="1"/>
        <v>75.439253054379179</v>
      </c>
      <c r="R13" s="6">
        <f t="shared" si="7"/>
        <v>-0.164436</v>
      </c>
      <c r="S13" s="6">
        <f t="shared" si="8"/>
        <v>11.14386518303797</v>
      </c>
      <c r="T13" s="6">
        <f t="shared" si="9"/>
        <v>10.97942918303797</v>
      </c>
      <c r="U13" s="6">
        <f t="shared" si="10"/>
        <v>4.3411557278553641</v>
      </c>
      <c r="V13" s="6">
        <f t="shared" si="13"/>
        <v>19.529227244163049</v>
      </c>
      <c r="W13" s="6">
        <f t="shared" si="11"/>
        <v>0</v>
      </c>
      <c r="X13" s="6">
        <f t="shared" si="12"/>
        <v>0</v>
      </c>
    </row>
    <row r="14" spans="1:24" x14ac:dyDescent="0.25">
      <c r="A14" s="5">
        <v>45566</v>
      </c>
      <c r="B14">
        <v>10</v>
      </c>
      <c r="C14">
        <v>-50389</v>
      </c>
      <c r="D14">
        <v>0</v>
      </c>
      <c r="E14">
        <v>12677889.277689731</v>
      </c>
      <c r="F14" s="6">
        <f t="shared" si="2"/>
        <v>-5.0389000000000003E-2</v>
      </c>
      <c r="G14" s="6">
        <f t="shared" si="3"/>
        <v>12.677889277689731</v>
      </c>
      <c r="H14" s="6">
        <v>0</v>
      </c>
      <c r="I14" s="6">
        <f t="shared" si="4"/>
        <v>0</v>
      </c>
      <c r="J14">
        <v>12780400</v>
      </c>
      <c r="K14">
        <v>10609500</v>
      </c>
      <c r="L14">
        <v>7313.9542000000001</v>
      </c>
      <c r="M14">
        <f t="shared" si="5"/>
        <v>259.72269510466884</v>
      </c>
      <c r="O14" s="5">
        <f t="shared" si="6"/>
        <v>45566</v>
      </c>
      <c r="P14" s="7">
        <f t="shared" si="0"/>
        <v>105.15377910832895</v>
      </c>
      <c r="Q14" s="7">
        <f t="shared" si="1"/>
        <v>79.29554402156775</v>
      </c>
      <c r="R14" s="6">
        <f t="shared" si="7"/>
        <v>-5.0389000000000003E-2</v>
      </c>
      <c r="S14" s="6">
        <f t="shared" si="8"/>
        <v>12.677889277689731</v>
      </c>
      <c r="T14" s="6">
        <f t="shared" si="9"/>
        <v>12.627500277689732</v>
      </c>
      <c r="U14" s="6">
        <f t="shared" si="10"/>
        <v>4.861916388400644</v>
      </c>
      <c r="V14" s="6">
        <f t="shared" si="13"/>
        <v>21.87193363784349</v>
      </c>
      <c r="W14" s="6">
        <f t="shared" si="11"/>
        <v>0</v>
      </c>
      <c r="X14" s="6">
        <f t="shared" si="12"/>
        <v>0</v>
      </c>
    </row>
    <row r="15" spans="1:24" x14ac:dyDescent="0.25">
      <c r="A15" s="5">
        <v>45597</v>
      </c>
      <c r="B15">
        <v>11</v>
      </c>
      <c r="C15">
        <v>-263134</v>
      </c>
      <c r="D15">
        <v>0</v>
      </c>
      <c r="E15">
        <v>14915258.539097</v>
      </c>
      <c r="F15" s="6">
        <f t="shared" si="2"/>
        <v>-0.26313399999999998</v>
      </c>
      <c r="G15" s="6">
        <f t="shared" si="3"/>
        <v>14.915258539097</v>
      </c>
      <c r="H15" s="6">
        <v>0</v>
      </c>
      <c r="I15" s="6">
        <f t="shared" si="4"/>
        <v>0</v>
      </c>
      <c r="J15">
        <v>13026400</v>
      </c>
      <c r="K15">
        <v>10957300</v>
      </c>
      <c r="L15">
        <v>7491.4314000000004</v>
      </c>
      <c r="M15">
        <f t="shared" si="5"/>
        <v>266.02501194220525</v>
      </c>
      <c r="O15" s="5">
        <f t="shared" si="6"/>
        <v>45597</v>
      </c>
      <c r="P15" s="7">
        <f t="shared" si="0"/>
        <v>104.63868618945573</v>
      </c>
      <c r="Q15" s="7">
        <f t="shared" si="1"/>
        <v>79.954856418442716</v>
      </c>
      <c r="R15" s="6">
        <f t="shared" si="7"/>
        <v>-0.26313399999999998</v>
      </c>
      <c r="S15" s="6">
        <f t="shared" si="8"/>
        <v>14.915258539097</v>
      </c>
      <c r="T15" s="6">
        <f t="shared" si="9"/>
        <v>14.652124539096999</v>
      </c>
      <c r="U15" s="6">
        <f t="shared" si="10"/>
        <v>5.5077995982874786</v>
      </c>
      <c r="V15" s="6">
        <f t="shared" si="13"/>
        <v>24.777519332024724</v>
      </c>
      <c r="W15" s="6">
        <f t="shared" si="11"/>
        <v>0</v>
      </c>
      <c r="X15" s="6">
        <f t="shared" si="12"/>
        <v>0</v>
      </c>
    </row>
    <row r="16" spans="1:24" x14ac:dyDescent="0.25">
      <c r="A16" s="5">
        <v>45627</v>
      </c>
      <c r="B16">
        <v>12</v>
      </c>
      <c r="C16">
        <v>-506857</v>
      </c>
      <c r="D16">
        <v>0</v>
      </c>
      <c r="E16">
        <v>10742211.481550669</v>
      </c>
      <c r="F16" s="6">
        <f t="shared" si="2"/>
        <v>-0.506857</v>
      </c>
      <c r="G16" s="6">
        <f t="shared" si="3"/>
        <v>10.742211481550669</v>
      </c>
      <c r="H16" s="6">
        <v>0</v>
      </c>
      <c r="I16" s="6">
        <f t="shared" si="4"/>
        <v>0</v>
      </c>
      <c r="J16">
        <v>13015200</v>
      </c>
      <c r="K16">
        <v>15248800</v>
      </c>
      <c r="L16">
        <v>7694.0074999999997</v>
      </c>
      <c r="M16">
        <f t="shared" si="5"/>
        <v>273.21860506804035</v>
      </c>
      <c r="O16" s="5">
        <f t="shared" si="6"/>
        <v>45627</v>
      </c>
      <c r="P16" s="7">
        <f t="shared" si="0"/>
        <v>101.79604759288105</v>
      </c>
      <c r="Q16" s="7">
        <f t="shared" si="1"/>
        <v>108.34008334889904</v>
      </c>
      <c r="R16" s="6">
        <f t="shared" si="7"/>
        <v>-0.506857</v>
      </c>
      <c r="S16" s="6">
        <f t="shared" si="8"/>
        <v>10.742211481550669</v>
      </c>
      <c r="T16" s="6">
        <f t="shared" si="9"/>
        <v>10.235354481550669</v>
      </c>
      <c r="U16" s="6">
        <f t="shared" si="10"/>
        <v>3.7462143103328307</v>
      </c>
      <c r="V16" s="6">
        <f t="shared" si="13"/>
        <v>16.852809518530805</v>
      </c>
      <c r="W16" s="6">
        <f t="shared" si="11"/>
        <v>0</v>
      </c>
      <c r="X16" s="6">
        <f t="shared" si="12"/>
        <v>0</v>
      </c>
    </row>
    <row r="17" spans="1:24" x14ac:dyDescent="0.25">
      <c r="A17" s="8">
        <v>45658</v>
      </c>
      <c r="B17" s="9">
        <v>1</v>
      </c>
      <c r="C17" s="9">
        <v>-310536</v>
      </c>
      <c r="D17" s="9">
        <v>0</v>
      </c>
      <c r="E17" s="9">
        <v>12220820.336503631</v>
      </c>
      <c r="F17" s="10">
        <f t="shared" si="2"/>
        <v>-0.31053599999999998</v>
      </c>
      <c r="G17" s="10">
        <f t="shared" si="3"/>
        <v>12.22082033650363</v>
      </c>
      <c r="H17" s="12">
        <v>0</v>
      </c>
      <c r="I17" s="12">
        <f t="shared" si="4"/>
        <v>0</v>
      </c>
      <c r="J17">
        <v>15031700</v>
      </c>
      <c r="K17">
        <v>9822480</v>
      </c>
      <c r="L17">
        <v>7864.1256999999996</v>
      </c>
      <c r="M17">
        <f t="shared" si="5"/>
        <v>279.25959960836099</v>
      </c>
      <c r="O17" s="5">
        <f t="shared" si="6"/>
        <v>45658</v>
      </c>
      <c r="P17" s="7">
        <f t="shared" si="0"/>
        <v>115.02449314863421</v>
      </c>
      <c r="Q17" s="7">
        <f t="shared" si="1"/>
        <v>68.277373910930791</v>
      </c>
      <c r="R17" s="6">
        <f t="shared" si="7"/>
        <v>-0.31053599999999998</v>
      </c>
      <c r="S17" s="6">
        <f t="shared" si="8"/>
        <v>12.22082033650363</v>
      </c>
      <c r="T17" s="6">
        <f t="shared" si="9"/>
        <v>11.910284336503629</v>
      </c>
      <c r="U17" s="6">
        <f t="shared" si="10"/>
        <v>4.2649507315798063</v>
      </c>
      <c r="V17" s="6">
        <f t="shared" si="13"/>
        <v>19.186409620769204</v>
      </c>
      <c r="W17" s="6">
        <f t="shared" si="11"/>
        <v>0</v>
      </c>
      <c r="X17" s="6">
        <f t="shared" si="12"/>
        <v>0</v>
      </c>
    </row>
    <row r="18" spans="1:24" x14ac:dyDescent="0.25">
      <c r="A18" s="8">
        <v>45689</v>
      </c>
      <c r="B18" s="9">
        <v>2</v>
      </c>
      <c r="C18" s="9">
        <v>-169962</v>
      </c>
      <c r="D18" s="9">
        <v>0</v>
      </c>
      <c r="E18" s="9">
        <v>11418640.464761071</v>
      </c>
      <c r="F18" s="10">
        <f t="shared" si="2"/>
        <v>-0.169962</v>
      </c>
      <c r="G18" s="10">
        <f t="shared" si="3"/>
        <v>11.41864046476107</v>
      </c>
      <c r="H18" s="12">
        <v>0</v>
      </c>
      <c r="I18" s="12">
        <f t="shared" si="4"/>
        <v>0</v>
      </c>
      <c r="J18">
        <v>13520800</v>
      </c>
      <c r="K18">
        <v>9853090</v>
      </c>
      <c r="L18">
        <v>8052.9926999999998</v>
      </c>
      <c r="M18">
        <f t="shared" si="5"/>
        <v>285.96637475556298</v>
      </c>
      <c r="O18" s="5">
        <f t="shared" si="6"/>
        <v>45689</v>
      </c>
      <c r="P18" s="7">
        <f t="shared" si="0"/>
        <v>101.03637557317271</v>
      </c>
      <c r="Q18" s="7">
        <f t="shared" si="1"/>
        <v>66.883847296813343</v>
      </c>
      <c r="R18" s="6">
        <f t="shared" si="7"/>
        <v>-0.169962</v>
      </c>
      <c r="S18" s="6">
        <f t="shared" si="8"/>
        <v>11.41864046476107</v>
      </c>
      <c r="T18" s="6">
        <f t="shared" si="9"/>
        <v>11.24867846476107</v>
      </c>
      <c r="U18" s="6">
        <f t="shared" si="10"/>
        <v>3.9335668308472154</v>
      </c>
      <c r="V18" s="6">
        <f t="shared" si="13"/>
        <v>17.695638059422542</v>
      </c>
      <c r="W18" s="6">
        <f t="shared" si="11"/>
        <v>0</v>
      </c>
      <c r="X18" s="6">
        <f t="shared" si="12"/>
        <v>0</v>
      </c>
    </row>
    <row r="19" spans="1:24" x14ac:dyDescent="0.25">
      <c r="A19" s="8">
        <v>45717</v>
      </c>
      <c r="B19" s="9">
        <v>3</v>
      </c>
      <c r="C19" s="9">
        <v>-433349</v>
      </c>
      <c r="D19" s="9">
        <v>0</v>
      </c>
      <c r="E19" s="9">
        <v>10254705.929899311</v>
      </c>
      <c r="F19" s="10">
        <f t="shared" si="2"/>
        <v>-0.43334899999999998</v>
      </c>
      <c r="G19" s="10">
        <f t="shared" si="3"/>
        <v>10.254705929899311</v>
      </c>
      <c r="H19" s="12">
        <v>0</v>
      </c>
      <c r="I19" s="12">
        <f t="shared" si="4"/>
        <v>0</v>
      </c>
      <c r="J19">
        <v>12733300</v>
      </c>
      <c r="K19">
        <v>10981200</v>
      </c>
      <c r="L19">
        <v>8353.3158000000003</v>
      </c>
      <c r="M19">
        <f t="shared" si="5"/>
        <v>296.63101973436108</v>
      </c>
      <c r="O19" s="5">
        <f t="shared" si="6"/>
        <v>45717</v>
      </c>
      <c r="P19" s="7">
        <f t="shared" si="0"/>
        <v>91.730708142834644</v>
      </c>
      <c r="Q19" s="7">
        <f t="shared" si="1"/>
        <v>71.861619990269375</v>
      </c>
      <c r="R19" s="6">
        <f t="shared" si="7"/>
        <v>-0.43334899999999998</v>
      </c>
      <c r="S19" s="6">
        <f t="shared" si="8"/>
        <v>10.254705929899311</v>
      </c>
      <c r="T19" s="6">
        <f t="shared" si="9"/>
        <v>9.8213569298993111</v>
      </c>
      <c r="U19" s="6">
        <f t="shared" si="10"/>
        <v>3.3109675915534829</v>
      </c>
      <c r="V19" s="6">
        <f t="shared" si="13"/>
        <v>14.89479819362553</v>
      </c>
      <c r="W19" s="6">
        <f t="shared" si="11"/>
        <v>0</v>
      </c>
      <c r="X19" s="6">
        <f t="shared" si="12"/>
        <v>0</v>
      </c>
    </row>
    <row r="20" spans="1:24" x14ac:dyDescent="0.25">
      <c r="A20" s="8">
        <v>45748</v>
      </c>
      <c r="B20" s="9">
        <v>4</v>
      </c>
      <c r="C20" s="9">
        <v>0</v>
      </c>
      <c r="D20" s="9">
        <v>0</v>
      </c>
      <c r="E20" s="9">
        <v>11534728.73263238</v>
      </c>
      <c r="F20" s="10">
        <f t="shared" si="2"/>
        <v>0</v>
      </c>
      <c r="G20" s="10">
        <f t="shared" si="3"/>
        <v>11.534728732632381</v>
      </c>
      <c r="H20" s="12">
        <v>0</v>
      </c>
      <c r="I20" s="12">
        <f t="shared" si="4"/>
        <v>0</v>
      </c>
      <c r="J20">
        <v>13681800</v>
      </c>
      <c r="K20">
        <v>11407400</v>
      </c>
      <c r="L20">
        <v>8585.6077999999998</v>
      </c>
      <c r="M20">
        <f t="shared" si="5"/>
        <v>304.8798414580811</v>
      </c>
      <c r="O20" s="5">
        <f t="shared" si="6"/>
        <v>45748</v>
      </c>
      <c r="P20" s="7">
        <f t="shared" si="0"/>
        <v>95.896966049882565</v>
      </c>
      <c r="Q20" s="7">
        <f t="shared" si="1"/>
        <v>72.630950405547139</v>
      </c>
      <c r="R20" s="6">
        <f t="shared" si="7"/>
        <v>0</v>
      </c>
      <c r="S20" s="6">
        <f t="shared" si="8"/>
        <v>11.534728732632381</v>
      </c>
      <c r="T20" s="6">
        <f t="shared" si="9"/>
        <v>11.534728732632381</v>
      </c>
      <c r="U20" s="6">
        <f t="shared" si="10"/>
        <v>3.7833687781611913</v>
      </c>
      <c r="V20" s="6">
        <f t="shared" si="13"/>
        <v>17.019953498347089</v>
      </c>
      <c r="W20" s="6">
        <f t="shared" si="11"/>
        <v>0</v>
      </c>
      <c r="X20" s="6">
        <f t="shared" si="12"/>
        <v>0</v>
      </c>
    </row>
    <row r="21" spans="1:24" x14ac:dyDescent="0.25">
      <c r="A21" s="8">
        <v>45778</v>
      </c>
      <c r="B21" s="9">
        <v>5</v>
      </c>
      <c r="C21" s="9">
        <v>0</v>
      </c>
      <c r="D21" s="9">
        <v>0</v>
      </c>
      <c r="E21" s="9">
        <v>11335632.06671034</v>
      </c>
      <c r="F21" s="10">
        <f t="shared" si="2"/>
        <v>0</v>
      </c>
      <c r="G21" s="10">
        <f t="shared" si="3"/>
        <v>11.335632066710341</v>
      </c>
      <c r="H21" s="12">
        <v>0</v>
      </c>
      <c r="I21" s="12">
        <f t="shared" si="4"/>
        <v>0</v>
      </c>
      <c r="J21">
        <v>15862900</v>
      </c>
      <c r="K21">
        <v>11681300</v>
      </c>
      <c r="L21">
        <v>8714.4871000000003</v>
      </c>
      <c r="M21">
        <f t="shared" si="5"/>
        <v>309.45641908269943</v>
      </c>
      <c r="O21" s="5">
        <f t="shared" si="6"/>
        <v>45778</v>
      </c>
      <c r="P21" s="7">
        <f t="shared" si="0"/>
        <v>109.54017498303874</v>
      </c>
      <c r="Q21" s="7">
        <f t="shared" si="1"/>
        <v>73.274936143168361</v>
      </c>
      <c r="R21" s="6">
        <f t="shared" si="7"/>
        <v>0</v>
      </c>
      <c r="S21" s="6">
        <f t="shared" si="8"/>
        <v>11.335632066710341</v>
      </c>
      <c r="T21" s="6">
        <f t="shared" si="9"/>
        <v>11.335632066710341</v>
      </c>
      <c r="U21" s="6">
        <f t="shared" si="10"/>
        <v>3.6630786655878018</v>
      </c>
      <c r="V21" s="6">
        <f t="shared" si="13"/>
        <v>16.478813513757725</v>
      </c>
      <c r="W21" s="6">
        <f t="shared" si="11"/>
        <v>0</v>
      </c>
      <c r="X21" s="6">
        <f t="shared" si="12"/>
        <v>0</v>
      </c>
    </row>
    <row r="22" spans="1:24" x14ac:dyDescent="0.25">
      <c r="A22" s="8">
        <v>45809</v>
      </c>
      <c r="B22" s="9">
        <v>6</v>
      </c>
      <c r="C22" s="9">
        <v>0</v>
      </c>
      <c r="D22" s="9">
        <v>0</v>
      </c>
      <c r="E22" s="9">
        <v>11017328.584677219</v>
      </c>
      <c r="F22" s="10">
        <f t="shared" si="2"/>
        <v>0</v>
      </c>
      <c r="G22" s="10">
        <f t="shared" si="3"/>
        <v>11.01732858467722</v>
      </c>
      <c r="H22" s="12">
        <v>0</v>
      </c>
      <c r="I22" s="12">
        <f t="shared" si="4"/>
        <v>0</v>
      </c>
      <c r="J22">
        <v>16184500</v>
      </c>
      <c r="K22">
        <v>15260200</v>
      </c>
      <c r="L22">
        <v>8855.5681000000004</v>
      </c>
      <c r="M22">
        <f t="shared" si="5"/>
        <v>314.46628605015485</v>
      </c>
      <c r="O22" s="5">
        <f t="shared" si="6"/>
        <v>45809</v>
      </c>
      <c r="P22" s="7">
        <f t="shared" si="0"/>
        <v>109.98046082223468</v>
      </c>
      <c r="Q22" s="7">
        <f t="shared" si="1"/>
        <v>94.199782639964653</v>
      </c>
      <c r="R22" s="6">
        <f t="shared" si="7"/>
        <v>0</v>
      </c>
      <c r="S22" s="6">
        <f t="shared" si="8"/>
        <v>11.01732858467722</v>
      </c>
      <c r="T22" s="6">
        <f t="shared" si="9"/>
        <v>11.01732858467722</v>
      </c>
      <c r="U22" s="6">
        <f t="shared" si="10"/>
        <v>3.5035007164233951</v>
      </c>
      <c r="V22" s="6">
        <f t="shared" si="13"/>
        <v>15.760932325485129</v>
      </c>
      <c r="W22" s="6">
        <f t="shared" si="11"/>
        <v>0</v>
      </c>
      <c r="X22" s="6">
        <f t="shared" si="12"/>
        <v>0</v>
      </c>
    </row>
    <row r="23" spans="1:24" x14ac:dyDescent="0.25">
      <c r="A23" s="8">
        <v>45839</v>
      </c>
      <c r="B23" s="9">
        <v>7</v>
      </c>
      <c r="C23" s="9">
        <v>0</v>
      </c>
      <c r="D23" s="9">
        <v>0</v>
      </c>
      <c r="E23" s="9">
        <v>0</v>
      </c>
      <c r="F23" s="10">
        <f t="shared" si="2"/>
        <v>0</v>
      </c>
      <c r="G23" s="10">
        <f t="shared" si="3"/>
        <v>0</v>
      </c>
      <c r="H23" s="12">
        <v>1732977.3</v>
      </c>
      <c r="I23" s="12">
        <f t="shared" si="4"/>
        <v>1.7329772999999999</v>
      </c>
      <c r="J23">
        <v>16998900</v>
      </c>
      <c r="K23">
        <v>13339200</v>
      </c>
      <c r="L23">
        <v>9023.973</v>
      </c>
      <c r="M23">
        <f t="shared" si="5"/>
        <v>320.4464403279643</v>
      </c>
      <c r="O23" s="5">
        <f t="shared" si="6"/>
        <v>45839</v>
      </c>
      <c r="P23" s="7">
        <f t="shared" si="0"/>
        <v>113.35892195331144</v>
      </c>
      <c r="Q23" s="7">
        <f t="shared" si="1"/>
        <v>80.80497481976559</v>
      </c>
      <c r="R23" s="6">
        <f t="shared" si="7"/>
        <v>0</v>
      </c>
      <c r="S23" s="6">
        <f t="shared" si="8"/>
        <v>0</v>
      </c>
      <c r="T23" s="6">
        <f t="shared" si="9"/>
        <v>0</v>
      </c>
      <c r="U23" s="6">
        <f t="shared" si="10"/>
        <v>0</v>
      </c>
      <c r="V23" s="6">
        <f t="shared" si="13"/>
        <v>0</v>
      </c>
      <c r="W23" s="6">
        <f t="shared" si="11"/>
        <v>1.7329772999999999</v>
      </c>
      <c r="X23" s="6">
        <f t="shared" si="12"/>
        <v>0.54080092081109277</v>
      </c>
    </row>
    <row r="24" spans="1:24" x14ac:dyDescent="0.25">
      <c r="A24" s="8">
        <v>45870</v>
      </c>
      <c r="B24" s="9">
        <v>8</v>
      </c>
      <c r="C24" s="9">
        <v>0</v>
      </c>
      <c r="D24" s="9">
        <v>0</v>
      </c>
      <c r="E24" s="9">
        <v>0</v>
      </c>
      <c r="F24" s="10">
        <f t="shared" si="2"/>
        <v>0</v>
      </c>
      <c r="G24" s="10">
        <f t="shared" si="3"/>
        <v>0</v>
      </c>
      <c r="H24" s="12">
        <v>2124000.0000494188</v>
      </c>
      <c r="I24" s="12">
        <f t="shared" si="4"/>
        <v>2.1240000000494188</v>
      </c>
      <c r="J24">
        <v>15359100</v>
      </c>
      <c r="K24">
        <v>11490400</v>
      </c>
      <c r="L24">
        <v>9193.2440999999999</v>
      </c>
      <c r="M24">
        <f t="shared" si="5"/>
        <v>326.45735386298912</v>
      </c>
      <c r="O24" s="5">
        <f t="shared" si="6"/>
        <v>45870</v>
      </c>
      <c r="P24" s="7">
        <f t="shared" si="0"/>
        <v>100.53786341651542</v>
      </c>
      <c r="Q24" s="7">
        <f t="shared" si="1"/>
        <v>68.323870065479724</v>
      </c>
      <c r="R24" s="6">
        <f t="shared" si="7"/>
        <v>0</v>
      </c>
      <c r="S24" s="6">
        <f t="shared" si="8"/>
        <v>0</v>
      </c>
      <c r="T24" s="6">
        <f t="shared" si="9"/>
        <v>0</v>
      </c>
      <c r="U24" s="6">
        <f t="shared" si="10"/>
        <v>0</v>
      </c>
      <c r="V24" s="6">
        <f t="shared" si="13"/>
        <v>0</v>
      </c>
      <c r="W24" s="6">
        <f t="shared" si="11"/>
        <v>2.1240000000494188</v>
      </c>
      <c r="X24" s="6">
        <f t="shared" si="12"/>
        <v>0.65062096929844027</v>
      </c>
    </row>
    <row r="25" spans="1:24" x14ac:dyDescent="0.25">
      <c r="A25" s="8">
        <v>45901</v>
      </c>
      <c r="B25" s="9">
        <v>9</v>
      </c>
      <c r="C25" s="9">
        <v>0</v>
      </c>
      <c r="D25" s="9">
        <v>0</v>
      </c>
      <c r="E25" s="9">
        <v>0</v>
      </c>
      <c r="F25" s="10">
        <f t="shared" si="2"/>
        <v>0</v>
      </c>
      <c r="G25" s="10">
        <f t="shared" si="3"/>
        <v>0</v>
      </c>
      <c r="H25" s="12">
        <v>2957183.0863340292</v>
      </c>
      <c r="I25" s="12">
        <f t="shared" si="4"/>
        <v>2.9571830863340294</v>
      </c>
      <c r="J25">
        <v>15445000</v>
      </c>
      <c r="K25">
        <v>13392100</v>
      </c>
      <c r="L25">
        <v>9384.0921999999991</v>
      </c>
      <c r="M25">
        <f t="shared" si="5"/>
        <v>333.23447900380626</v>
      </c>
      <c r="O25" s="5">
        <f t="shared" si="6"/>
        <v>45901</v>
      </c>
      <c r="P25" s="7">
        <f t="shared" si="0"/>
        <v>99.044034273005238</v>
      </c>
      <c r="Q25" s="7">
        <f t="shared" si="1"/>
        <v>78.012198974161279</v>
      </c>
      <c r="R25" s="6">
        <f t="shared" si="7"/>
        <v>0</v>
      </c>
      <c r="S25" s="6">
        <f t="shared" si="8"/>
        <v>0</v>
      </c>
      <c r="T25" s="6">
        <f t="shared" si="9"/>
        <v>0</v>
      </c>
      <c r="U25" s="6">
        <f t="shared" si="10"/>
        <v>0</v>
      </c>
      <c r="V25" s="6">
        <f t="shared" si="13"/>
        <v>0</v>
      </c>
      <c r="W25" s="6">
        <f t="shared" si="11"/>
        <v>2.9571830863340294</v>
      </c>
      <c r="X25" s="6">
        <f t="shared" si="12"/>
        <v>0.88741810126444087</v>
      </c>
    </row>
    <row r="26" spans="1:24" x14ac:dyDescent="0.25">
      <c r="A26" s="8">
        <v>45931</v>
      </c>
      <c r="B26" s="9">
        <v>10</v>
      </c>
      <c r="C26" s="9">
        <v>0</v>
      </c>
      <c r="D26" s="9">
        <v>0</v>
      </c>
      <c r="E26" s="9">
        <v>0</v>
      </c>
      <c r="F26" s="10">
        <f t="shared" si="2"/>
        <v>0</v>
      </c>
      <c r="G26" s="10">
        <f t="shared" si="3"/>
        <v>0</v>
      </c>
      <c r="H26" s="12">
        <v>3595523.0600554189</v>
      </c>
      <c r="I26" s="12">
        <f t="shared" si="4"/>
        <v>3.5955230600554189</v>
      </c>
      <c r="J26">
        <v>16165700</v>
      </c>
      <c r="K26">
        <v>13686000</v>
      </c>
      <c r="L26">
        <v>9603.8623000000007</v>
      </c>
      <c r="M26">
        <f t="shared" si="5"/>
        <v>341.03864089962769</v>
      </c>
      <c r="O26" s="5">
        <f t="shared" si="6"/>
        <v>45931</v>
      </c>
      <c r="P26" s="7">
        <f t="shared" si="0"/>
        <v>101.29342726002557</v>
      </c>
      <c r="Q26" s="7">
        <f t="shared" si="1"/>
        <v>77.899866511634556</v>
      </c>
      <c r="R26" s="6">
        <f t="shared" si="7"/>
        <v>0</v>
      </c>
      <c r="S26" s="6">
        <f t="shared" si="8"/>
        <v>0</v>
      </c>
      <c r="T26" s="6">
        <f t="shared" si="9"/>
        <v>0</v>
      </c>
      <c r="U26" s="6">
        <f t="shared" si="10"/>
        <v>0</v>
      </c>
      <c r="V26" s="6">
        <f t="shared" si="13"/>
        <v>0</v>
      </c>
      <c r="W26" s="6">
        <f t="shared" si="11"/>
        <v>3.5955230600554189</v>
      </c>
      <c r="X26" s="6">
        <f t="shared" si="12"/>
        <v>1.0542861215288593</v>
      </c>
    </row>
    <row r="27" spans="1:24" x14ac:dyDescent="0.25">
      <c r="A27" s="8">
        <v>45962</v>
      </c>
      <c r="B27" s="9">
        <v>11</v>
      </c>
      <c r="C27" s="9">
        <v>0</v>
      </c>
      <c r="D27" s="9">
        <v>0</v>
      </c>
      <c r="E27" s="9">
        <v>0</v>
      </c>
      <c r="F27" s="10">
        <f t="shared" si="2"/>
        <v>0</v>
      </c>
      <c r="G27" s="10">
        <f t="shared" si="3"/>
        <v>0</v>
      </c>
      <c r="H27" s="12">
        <v>3525736.058501719</v>
      </c>
      <c r="I27" s="12">
        <f t="shared" si="4"/>
        <v>3.5257360585017192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0BDB-AE65-4A30-93F7-D46E12416341}">
  <dimension ref="A1:J26"/>
  <sheetViews>
    <sheetView tabSelected="1" topLeftCell="A5" zoomScale="145" zoomScaleNormal="145" workbookViewId="0">
      <selection activeCell="I17" sqref="I17"/>
    </sheetView>
  </sheetViews>
  <sheetFormatPr baseColWidth="10" defaultRowHeight="15" x14ac:dyDescent="0.25"/>
  <sheetData>
    <row r="1" spans="1:10" x14ac:dyDescent="0.25">
      <c r="B1">
        <f>Monthly!P1</f>
        <v>1</v>
      </c>
      <c r="C1">
        <f>Monthly!Q1</f>
        <v>2</v>
      </c>
      <c r="D1">
        <f>Monthly!R1</f>
        <v>3</v>
      </c>
      <c r="E1">
        <f>Monthly!S1</f>
        <v>4</v>
      </c>
      <c r="F1">
        <f>Monthly!T1</f>
        <v>5</v>
      </c>
      <c r="G1">
        <f>Monthly!U1</f>
        <v>6</v>
      </c>
      <c r="H1">
        <f>Monthly!V1</f>
        <v>7</v>
      </c>
    </row>
    <row r="2" spans="1:10" x14ac:dyDescent="0.25">
      <c r="A2" t="str">
        <f>Monthly!O2</f>
        <v>Fecha</v>
      </c>
      <c r="B2" t="str">
        <f>Monthly!P2</f>
        <v>Recaudacion</v>
      </c>
      <c r="C2" t="str">
        <f>Monthly!Q2</f>
        <v>Gasto Primario</v>
      </c>
      <c r="D2" t="str">
        <f>Monthly!R2</f>
        <v>PNM $ bill</v>
      </c>
      <c r="E2" t="str">
        <f>Monthly!S2</f>
        <v>LEFI $ bill</v>
      </c>
      <c r="F2" t="str">
        <f>Monthly!T2</f>
        <v>PNM + LEFI $ bill</v>
      </c>
      <c r="G2" t="str">
        <f>Monthly!U2</f>
        <v>PNM + LEFI $ constantes</v>
      </c>
      <c r="H2" t="str">
        <f>Monthly!V2</f>
        <v>PNM + LEFI indice</v>
      </c>
    </row>
    <row r="3" spans="1:10" x14ac:dyDescent="0.25">
      <c r="A3" s="5">
        <f>Monthly!O3</f>
        <v>45231</v>
      </c>
      <c r="B3" s="12">
        <f>Monthly!P3</f>
        <v>100</v>
      </c>
      <c r="C3" s="12">
        <f>Monthly!Q3</f>
        <v>100</v>
      </c>
      <c r="D3" s="12">
        <f>Monthly!R3</f>
        <v>22.229019477219001</v>
      </c>
      <c r="E3" s="12">
        <f>Monthly!S3</f>
        <v>0</v>
      </c>
      <c r="F3" s="12">
        <f>Monthly!T3</f>
        <v>22.229019477219001</v>
      </c>
      <c r="G3" s="12">
        <f>Monthly!U3</f>
        <v>22.229019477219001</v>
      </c>
      <c r="H3" s="12">
        <f>Monthly!V3</f>
        <v>100</v>
      </c>
      <c r="I3" s="7"/>
      <c r="J3" s="7"/>
    </row>
    <row r="4" spans="1:10" x14ac:dyDescent="0.25">
      <c r="A4" s="5">
        <f>Monthly!O4</f>
        <v>45261</v>
      </c>
      <c r="B4" s="12">
        <f>Monthly!P4</f>
        <v>100.8752012241185</v>
      </c>
      <c r="C4" s="12">
        <f>Monthly!Q4</f>
        <v>131.73387868335581</v>
      </c>
      <c r="D4" s="12">
        <f>Monthly!R4</f>
        <v>25.786832138089</v>
      </c>
      <c r="E4" s="12">
        <f>Monthly!S4</f>
        <v>0</v>
      </c>
      <c r="F4" s="12">
        <f>Monthly!T4</f>
        <v>25.786832138089</v>
      </c>
      <c r="G4" s="12">
        <f>Monthly!U4</f>
        <v>20.552897947051086</v>
      </c>
      <c r="H4" s="12">
        <f>Monthly!V4</f>
        <v>92.459759496429186</v>
      </c>
      <c r="I4" s="7"/>
      <c r="J4" s="7"/>
    </row>
    <row r="5" spans="1:10" x14ac:dyDescent="0.25">
      <c r="A5" s="5">
        <f>Monthly!O5</f>
        <v>45292</v>
      </c>
      <c r="B5" s="12">
        <f>Monthly!P5</f>
        <v>108.73050409230358</v>
      </c>
      <c r="C5" s="12">
        <f>Monthly!Q5</f>
        <v>60.791206468682986</v>
      </c>
      <c r="D5" s="12">
        <f>Monthly!R5</f>
        <v>29.880151000000001</v>
      </c>
      <c r="E5" s="12">
        <f>Monthly!S5</f>
        <v>0</v>
      </c>
      <c r="F5" s="12">
        <f>Monthly!T5</f>
        <v>29.880151000000001</v>
      </c>
      <c r="G5" s="12">
        <f>Monthly!U5</f>
        <v>19.745099600670127</v>
      </c>
      <c r="H5" s="12">
        <f>Monthly!V5</f>
        <v>88.825778487015697</v>
      </c>
      <c r="I5" s="7"/>
      <c r="J5" s="7"/>
    </row>
    <row r="6" spans="1:10" x14ac:dyDescent="0.25">
      <c r="A6" s="5">
        <f>Monthly!O6</f>
        <v>45323</v>
      </c>
      <c r="B6" s="12">
        <f>Monthly!P6</f>
        <v>90.3984739101614</v>
      </c>
      <c r="C6" s="12">
        <f>Monthly!Q6</f>
        <v>57.604464115609453</v>
      </c>
      <c r="D6" s="12">
        <f>Monthly!R6</f>
        <v>28.049327999999999</v>
      </c>
      <c r="E6" s="12">
        <f>Monthly!S6</f>
        <v>0</v>
      </c>
      <c r="F6" s="12">
        <f>Monthly!T6</f>
        <v>28.049327999999999</v>
      </c>
      <c r="G6" s="12">
        <f>Monthly!U6</f>
        <v>16.368035128976839</v>
      </c>
      <c r="H6" s="12">
        <f>Monthly!V6</f>
        <v>73.633635283604463</v>
      </c>
      <c r="I6" s="7"/>
      <c r="J6" s="7"/>
    </row>
    <row r="7" spans="1:10" x14ac:dyDescent="0.25">
      <c r="A7" s="5">
        <f>Monthly!O7</f>
        <v>45352</v>
      </c>
      <c r="B7" s="12">
        <f>Monthly!P7</f>
        <v>86.792871714872007</v>
      </c>
      <c r="C7" s="12">
        <f>Monthly!Q7</f>
        <v>65.162184857666617</v>
      </c>
      <c r="D7" s="12">
        <f>Monthly!R7</f>
        <v>30.791841999999999</v>
      </c>
      <c r="E7" s="12">
        <f>Monthly!S7</f>
        <v>0</v>
      </c>
      <c r="F7" s="12">
        <f>Monthly!T7</f>
        <v>30.791841999999999</v>
      </c>
      <c r="G7" s="12">
        <f>Monthly!U7</f>
        <v>16.186346292347782</v>
      </c>
      <c r="H7" s="12">
        <f>Monthly!V7</f>
        <v>72.816285526836026</v>
      </c>
      <c r="I7" s="7"/>
      <c r="J7" s="7"/>
    </row>
    <row r="8" spans="1:10" x14ac:dyDescent="0.25">
      <c r="A8" s="5">
        <f>Monthly!O8</f>
        <v>45383</v>
      </c>
      <c r="B8" s="12">
        <f>Monthly!P8</f>
        <v>89.424418135310574</v>
      </c>
      <c r="C8" s="12">
        <f>Monthly!Q8</f>
        <v>71.499624905205152</v>
      </c>
      <c r="D8" s="12">
        <f>Monthly!R8</f>
        <v>32.712831000000001</v>
      </c>
      <c r="E8" s="12">
        <f>Monthly!S8</f>
        <v>0</v>
      </c>
      <c r="F8" s="12">
        <f>Monthly!T8</f>
        <v>32.712831000000001</v>
      </c>
      <c r="G8" s="12">
        <f>Monthly!U8</f>
        <v>15.800651480932332</v>
      </c>
      <c r="H8" s="12">
        <f>Monthly!V8</f>
        <v>71.081189600491996</v>
      </c>
      <c r="I8" s="7"/>
      <c r="J8" s="7"/>
    </row>
    <row r="9" spans="1:10" x14ac:dyDescent="0.25">
      <c r="A9" s="5">
        <f>Monthly!O9</f>
        <v>45413</v>
      </c>
      <c r="B9" s="12">
        <f>Monthly!P9</f>
        <v>132.56070235645987</v>
      </c>
      <c r="C9" s="12">
        <f>Monthly!Q9</f>
        <v>73.338032654863056</v>
      </c>
      <c r="D9" s="12">
        <f>Monthly!R9</f>
        <v>18.489248</v>
      </c>
      <c r="E9" s="12">
        <f>Monthly!S9</f>
        <v>0</v>
      </c>
      <c r="F9" s="12">
        <f>Monthly!T9</f>
        <v>18.489248</v>
      </c>
      <c r="G9" s="12">
        <f>Monthly!U9</f>
        <v>8.5724915696632209</v>
      </c>
      <c r="H9" s="12">
        <f>Monthly!V9</f>
        <v>38.564416115828138</v>
      </c>
      <c r="I9" s="7"/>
      <c r="J9" s="7"/>
    </row>
    <row r="10" spans="1:10" x14ac:dyDescent="0.25">
      <c r="A10" s="5">
        <f>Monthly!O10</f>
        <v>45444</v>
      </c>
      <c r="B10" s="12">
        <f>Monthly!P10</f>
        <v>107.03551436728083</v>
      </c>
      <c r="C10" s="12">
        <f>Monthly!Q10</f>
        <v>89.945883508634225</v>
      </c>
      <c r="D10" s="12">
        <f>Monthly!R10</f>
        <v>15.880749</v>
      </c>
      <c r="E10" s="12">
        <f>Monthly!S10</f>
        <v>0</v>
      </c>
      <c r="F10" s="12">
        <f>Monthly!T10</f>
        <v>15.880749</v>
      </c>
      <c r="G10" s="12">
        <f>Monthly!U10</f>
        <v>7.0408055171618953</v>
      </c>
      <c r="H10" s="12">
        <f>Monthly!V10</f>
        <v>31.673936515182483</v>
      </c>
      <c r="I10" s="7"/>
      <c r="J10" s="7"/>
    </row>
    <row r="11" spans="1:10" x14ac:dyDescent="0.25">
      <c r="A11" s="5">
        <f>Monthly!O11</f>
        <v>45474</v>
      </c>
      <c r="B11" s="12">
        <f>Monthly!P11</f>
        <v>108.4698909058383</v>
      </c>
      <c r="C11" s="12">
        <f>Monthly!Q11</f>
        <v>82.400831985286459</v>
      </c>
      <c r="D11" s="12">
        <f>Monthly!R11</f>
        <v>0</v>
      </c>
      <c r="E11" s="12">
        <f>Monthly!S11</f>
        <v>9.6049554541206934</v>
      </c>
      <c r="F11" s="12">
        <f>Monthly!T11</f>
        <v>9.6049554541206934</v>
      </c>
      <c r="G11" s="12">
        <f>Monthly!U11</f>
        <v>4.0934003777605366</v>
      </c>
      <c r="H11" s="12">
        <f>Monthly!V11</f>
        <v>18.414669085856808</v>
      </c>
      <c r="I11" s="7"/>
      <c r="J11" s="7"/>
    </row>
    <row r="12" spans="1:10" x14ac:dyDescent="0.25">
      <c r="A12" s="5">
        <f>Monthly!O12</f>
        <v>45505</v>
      </c>
      <c r="B12" s="12">
        <f>Monthly!P12</f>
        <v>102.8456141371489</v>
      </c>
      <c r="C12" s="12">
        <f>Monthly!Q12</f>
        <v>74.647921983958184</v>
      </c>
      <c r="D12" s="12">
        <f>Monthly!R12</f>
        <v>0</v>
      </c>
      <c r="E12" s="12">
        <f>Monthly!S12</f>
        <v>8.8283107246338179</v>
      </c>
      <c r="F12" s="12">
        <f>Monthly!T12</f>
        <v>8.8283107246338179</v>
      </c>
      <c r="G12" s="12">
        <f>Monthly!U12</f>
        <v>3.6117222034935579</v>
      </c>
      <c r="H12" s="12">
        <f>Monthly!V12</f>
        <v>16.247780102019185</v>
      </c>
      <c r="I12" s="7"/>
      <c r="J12" s="7"/>
    </row>
    <row r="13" spans="1:10" x14ac:dyDescent="0.25">
      <c r="A13" s="5">
        <f>Monthly!O13</f>
        <v>45536</v>
      </c>
      <c r="B13" s="12">
        <f>Monthly!P13</f>
        <v>108.52583754233551</v>
      </c>
      <c r="C13" s="12">
        <f>Monthly!Q13</f>
        <v>75.439253054379179</v>
      </c>
      <c r="D13" s="12">
        <f>Monthly!R13</f>
        <v>-0.164436</v>
      </c>
      <c r="E13" s="12">
        <f>Monthly!S13</f>
        <v>11.14386518303797</v>
      </c>
      <c r="F13" s="12">
        <f>Monthly!T13</f>
        <v>10.97942918303797</v>
      </c>
      <c r="G13" s="12">
        <f>Monthly!U13</f>
        <v>4.3411557278553641</v>
      </c>
      <c r="H13" s="12">
        <f>Monthly!V13</f>
        <v>19.529227244163049</v>
      </c>
      <c r="I13" s="7"/>
      <c r="J13" s="7"/>
    </row>
    <row r="14" spans="1:10" x14ac:dyDescent="0.25">
      <c r="A14" s="5">
        <f>Monthly!O14</f>
        <v>45566</v>
      </c>
      <c r="B14" s="12">
        <f>Monthly!P14</f>
        <v>105.15377910832895</v>
      </c>
      <c r="C14" s="12">
        <f>Monthly!Q14</f>
        <v>79.29554402156775</v>
      </c>
      <c r="D14" s="12">
        <f>Monthly!R14</f>
        <v>-5.0389000000000003E-2</v>
      </c>
      <c r="E14" s="12">
        <f>Monthly!S14</f>
        <v>12.677889277689731</v>
      </c>
      <c r="F14" s="12">
        <f>Monthly!T14</f>
        <v>12.627500277689732</v>
      </c>
      <c r="G14" s="12">
        <f>Monthly!U14</f>
        <v>4.861916388400644</v>
      </c>
      <c r="H14" s="12">
        <f>Monthly!V14</f>
        <v>21.87193363784349</v>
      </c>
      <c r="I14" s="7"/>
      <c r="J14" s="7"/>
    </row>
    <row r="15" spans="1:10" x14ac:dyDescent="0.25">
      <c r="A15" s="5">
        <f>Monthly!O15</f>
        <v>45597</v>
      </c>
      <c r="B15" s="12">
        <f>Monthly!P15</f>
        <v>104.63868618945573</v>
      </c>
      <c r="C15" s="12">
        <f>Monthly!Q15</f>
        <v>79.954856418442716</v>
      </c>
      <c r="D15" s="12">
        <f>Monthly!R15</f>
        <v>-0.26313399999999998</v>
      </c>
      <c r="E15" s="12">
        <f>Monthly!S15</f>
        <v>14.915258539097</v>
      </c>
      <c r="F15" s="12">
        <f>Monthly!T15</f>
        <v>14.652124539096999</v>
      </c>
      <c r="G15" s="12">
        <f>Monthly!U15</f>
        <v>5.5077995982874786</v>
      </c>
      <c r="H15" s="12">
        <f>Monthly!V15</f>
        <v>24.777519332024724</v>
      </c>
      <c r="I15" s="7"/>
      <c r="J15" s="7"/>
    </row>
    <row r="16" spans="1:10" x14ac:dyDescent="0.25">
      <c r="A16" s="5">
        <f>Monthly!O16</f>
        <v>45627</v>
      </c>
      <c r="B16" s="12">
        <f>Monthly!P16</f>
        <v>101.79604759288105</v>
      </c>
      <c r="C16" s="12">
        <f>Monthly!Q16</f>
        <v>108.34008334889904</v>
      </c>
      <c r="D16" s="12">
        <f>Monthly!R16</f>
        <v>-0.506857</v>
      </c>
      <c r="E16" s="12">
        <f>Monthly!S16</f>
        <v>10.742211481550669</v>
      </c>
      <c r="F16" s="10">
        <f>Monthly!T16</f>
        <v>10.235354481550669</v>
      </c>
      <c r="G16" s="12">
        <f>Monthly!U16</f>
        <v>3.7462143103328307</v>
      </c>
      <c r="H16" s="12">
        <f>Monthly!V16</f>
        <v>16.852809518530805</v>
      </c>
      <c r="I16" s="7"/>
      <c r="J16" s="7"/>
    </row>
    <row r="17" spans="1:10" x14ac:dyDescent="0.25">
      <c r="A17" s="5">
        <f>Monthly!O17</f>
        <v>45658</v>
      </c>
      <c r="B17" s="7">
        <f>Monthly!P17</f>
        <v>115.02449314863421</v>
      </c>
      <c r="C17" s="7">
        <f>Monthly!Q17</f>
        <v>68.277373910930791</v>
      </c>
      <c r="D17" s="7">
        <f>Monthly!R17</f>
        <v>-0.31053599999999998</v>
      </c>
      <c r="E17" s="7">
        <f>Monthly!S17</f>
        <v>12.22082033650363</v>
      </c>
      <c r="F17" s="7">
        <f>Monthly!T17</f>
        <v>11.910284336503629</v>
      </c>
      <c r="G17" s="7">
        <f>Monthly!U17</f>
        <v>4.2649507315798063</v>
      </c>
      <c r="H17" s="7">
        <f>Monthly!V17</f>
        <v>19.186409620769204</v>
      </c>
      <c r="I17" s="7"/>
      <c r="J17" s="7"/>
    </row>
    <row r="18" spans="1:10" x14ac:dyDescent="0.25">
      <c r="A18" s="5">
        <f>Monthly!O18</f>
        <v>45689</v>
      </c>
      <c r="B18" s="7">
        <f>Monthly!P18</f>
        <v>101.03637557317271</v>
      </c>
      <c r="C18" s="7">
        <f>Monthly!Q18</f>
        <v>66.883847296813343</v>
      </c>
      <c r="D18" s="7">
        <f>Monthly!R18</f>
        <v>-0.169962</v>
      </c>
      <c r="E18" s="7">
        <f>Monthly!S18</f>
        <v>11.41864046476107</v>
      </c>
      <c r="F18" s="7">
        <f>Monthly!T18</f>
        <v>11.24867846476107</v>
      </c>
      <c r="G18" s="7">
        <f>Monthly!U18</f>
        <v>3.9335668308472154</v>
      </c>
      <c r="H18" s="7">
        <f>Monthly!V18</f>
        <v>17.695638059422542</v>
      </c>
      <c r="I18" s="7"/>
      <c r="J18" s="7"/>
    </row>
    <row r="19" spans="1:10" x14ac:dyDescent="0.25">
      <c r="A19" s="5">
        <f>Monthly!O19</f>
        <v>45717</v>
      </c>
      <c r="B19" s="7">
        <f>Monthly!P19</f>
        <v>91.730708142834644</v>
      </c>
      <c r="C19" s="7">
        <f>Monthly!Q19</f>
        <v>71.861619990269375</v>
      </c>
      <c r="D19" s="7">
        <f>Monthly!R19</f>
        <v>-0.43334899999999998</v>
      </c>
      <c r="E19" s="7">
        <f>Monthly!S19</f>
        <v>10.254705929899311</v>
      </c>
      <c r="F19" s="7">
        <f>Monthly!T19</f>
        <v>9.8213569298993111</v>
      </c>
      <c r="G19" s="7">
        <f>Monthly!U19</f>
        <v>3.3109675915534829</v>
      </c>
      <c r="H19" s="7">
        <f>Monthly!V19</f>
        <v>14.89479819362553</v>
      </c>
      <c r="I19" s="7"/>
      <c r="J19" s="7"/>
    </row>
    <row r="20" spans="1:10" x14ac:dyDescent="0.25">
      <c r="A20" s="5">
        <f>Monthly!O20</f>
        <v>45748</v>
      </c>
      <c r="B20" s="7">
        <f>Monthly!P20</f>
        <v>95.896966049882565</v>
      </c>
      <c r="C20" s="7">
        <f>Monthly!Q20</f>
        <v>72.630950405547139</v>
      </c>
      <c r="D20" s="7">
        <f>Monthly!R20</f>
        <v>0</v>
      </c>
      <c r="E20" s="7">
        <f>Monthly!S20</f>
        <v>11.534728732632381</v>
      </c>
      <c r="F20" s="7">
        <f>Monthly!T20</f>
        <v>11.534728732632381</v>
      </c>
      <c r="G20" s="7">
        <f>Monthly!U20</f>
        <v>3.7833687781611913</v>
      </c>
      <c r="H20" s="7">
        <f>Monthly!V20</f>
        <v>17.019953498347089</v>
      </c>
      <c r="I20" s="7"/>
      <c r="J20" s="7"/>
    </row>
    <row r="21" spans="1:10" x14ac:dyDescent="0.25">
      <c r="A21" s="5">
        <f>Monthly!O21</f>
        <v>45778</v>
      </c>
      <c r="B21" s="7">
        <f>Monthly!P21</f>
        <v>109.54017498303874</v>
      </c>
      <c r="C21" s="7">
        <f>Monthly!Q21</f>
        <v>73.274936143168361</v>
      </c>
      <c r="D21" s="7">
        <f>Monthly!R21</f>
        <v>0</v>
      </c>
      <c r="E21" s="7">
        <f>Monthly!S21</f>
        <v>11.335632066710341</v>
      </c>
      <c r="F21" s="7">
        <f>Monthly!T21</f>
        <v>11.335632066710341</v>
      </c>
      <c r="G21" s="7">
        <f>Monthly!U21</f>
        <v>3.6630786655878018</v>
      </c>
      <c r="H21" s="7">
        <f>Monthly!V21</f>
        <v>16.478813513757725</v>
      </c>
      <c r="I21" s="7"/>
      <c r="J21" s="7"/>
    </row>
    <row r="22" spans="1:10" x14ac:dyDescent="0.25">
      <c r="A22" s="5">
        <f>Monthly!O22</f>
        <v>45809</v>
      </c>
      <c r="B22" s="7">
        <f>Monthly!P22</f>
        <v>109.98046082223468</v>
      </c>
      <c r="C22" s="7">
        <f>Monthly!Q22</f>
        <v>94.199782639964653</v>
      </c>
      <c r="D22" s="7">
        <f>Monthly!R22</f>
        <v>0</v>
      </c>
      <c r="E22" s="7">
        <f>Monthly!S22</f>
        <v>11.01732858467722</v>
      </c>
      <c r="F22" s="7">
        <f>Monthly!T22</f>
        <v>11.01732858467722</v>
      </c>
      <c r="G22" s="7">
        <f>Monthly!U22</f>
        <v>3.5035007164233951</v>
      </c>
      <c r="H22" s="7">
        <f>Monthly!V22</f>
        <v>15.760932325485129</v>
      </c>
      <c r="I22" s="7"/>
      <c r="J22" s="7"/>
    </row>
    <row r="23" spans="1:10" x14ac:dyDescent="0.25">
      <c r="A23" s="5">
        <f>Monthly!O23</f>
        <v>45839</v>
      </c>
      <c r="B23" s="7">
        <f>Monthly!P23</f>
        <v>113.35892195331144</v>
      </c>
      <c r="C23" s="7">
        <f>Monthly!Q23</f>
        <v>80.80497481976559</v>
      </c>
      <c r="D23" s="7">
        <f>Monthly!R23</f>
        <v>0</v>
      </c>
      <c r="E23" s="7">
        <f>Monthly!S23</f>
        <v>0</v>
      </c>
      <c r="F23" s="7">
        <f>Monthly!T23</f>
        <v>0</v>
      </c>
      <c r="G23" s="7">
        <f>Monthly!U23</f>
        <v>0</v>
      </c>
      <c r="H23" s="7">
        <f>Monthly!V23</f>
        <v>0</v>
      </c>
      <c r="I23" s="7"/>
      <c r="J23" s="7"/>
    </row>
    <row r="24" spans="1:10" x14ac:dyDescent="0.25">
      <c r="A24" s="5">
        <f>Monthly!O24</f>
        <v>45870</v>
      </c>
      <c r="B24" s="7">
        <f>Monthly!P24</f>
        <v>100.53786341651542</v>
      </c>
      <c r="C24" s="7">
        <f>Monthly!Q24</f>
        <v>68.323870065479724</v>
      </c>
      <c r="D24" s="7">
        <f>Monthly!R24</f>
        <v>0</v>
      </c>
      <c r="E24" s="7">
        <f>Monthly!S24</f>
        <v>0</v>
      </c>
      <c r="F24" s="7">
        <f>Monthly!T24</f>
        <v>0</v>
      </c>
      <c r="G24" s="7">
        <f>Monthly!U24</f>
        <v>0</v>
      </c>
      <c r="H24" s="7">
        <f>Monthly!V24</f>
        <v>0</v>
      </c>
      <c r="I24" s="7"/>
      <c r="J24" s="7"/>
    </row>
    <row r="25" spans="1:10" x14ac:dyDescent="0.25">
      <c r="A25" s="5">
        <f>Monthly!O25</f>
        <v>45901</v>
      </c>
      <c r="B25" s="7">
        <f>Monthly!P25</f>
        <v>99.044034273005238</v>
      </c>
      <c r="C25" s="7">
        <f>Monthly!Q25</f>
        <v>78.012198974161279</v>
      </c>
      <c r="D25" s="7">
        <f>Monthly!R25</f>
        <v>0</v>
      </c>
      <c r="E25" s="7">
        <f>Monthly!S25</f>
        <v>0</v>
      </c>
      <c r="F25" s="7">
        <f>Monthly!T25</f>
        <v>0</v>
      </c>
      <c r="G25" s="7">
        <f>Monthly!U25</f>
        <v>0</v>
      </c>
      <c r="H25" s="7">
        <f>Monthly!V25</f>
        <v>0</v>
      </c>
      <c r="I25" s="7"/>
      <c r="J25" s="7"/>
    </row>
    <row r="26" spans="1:10" x14ac:dyDescent="0.25">
      <c r="A26" s="5">
        <f>Monthly!O26</f>
        <v>45931</v>
      </c>
      <c r="B26" s="7">
        <f>Monthly!P26</f>
        <v>101.29342726002557</v>
      </c>
      <c r="C26" s="7">
        <f>Monthly!Q26</f>
        <v>77.899866511634556</v>
      </c>
      <c r="D26" s="7">
        <f>Monthly!R26</f>
        <v>0</v>
      </c>
      <c r="E26" s="7">
        <f>Monthly!S26</f>
        <v>0</v>
      </c>
      <c r="F26" s="7">
        <f>Monthly!T26</f>
        <v>0</v>
      </c>
      <c r="G26" s="7">
        <f>Monthly!U26</f>
        <v>0</v>
      </c>
      <c r="H26" s="7">
        <f>Monthly!V26</f>
        <v>0</v>
      </c>
      <c r="I26" s="7"/>
      <c r="J2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7752B-0E2F-45C2-B3A9-3BECBD1DC5D0}">
  <dimension ref="A1:E18"/>
  <sheetViews>
    <sheetView tabSelected="1" zoomScale="145" zoomScaleNormal="145" workbookViewId="0">
      <selection activeCell="I17" sqref="I17"/>
    </sheetView>
  </sheetViews>
  <sheetFormatPr baseColWidth="10" defaultRowHeight="15" x14ac:dyDescent="0.25"/>
  <sheetData>
    <row r="1" spans="1:5" x14ac:dyDescent="0.25">
      <c r="C1" t="s">
        <v>23</v>
      </c>
      <c r="D1" t="s">
        <v>24</v>
      </c>
      <c r="E1" t="s">
        <v>25</v>
      </c>
    </row>
    <row r="2" spans="1:5" x14ac:dyDescent="0.25">
      <c r="A2">
        <v>1</v>
      </c>
      <c r="B2" t="s">
        <v>22</v>
      </c>
      <c r="C2" s="6">
        <f>11090981/1000000</f>
        <v>11.090980999999999</v>
      </c>
      <c r="D2">
        <v>9301</v>
      </c>
    </row>
    <row r="3" spans="1:5" x14ac:dyDescent="0.25">
      <c r="A3">
        <v>2</v>
      </c>
      <c r="B3" t="s">
        <v>26</v>
      </c>
      <c r="C3" s="6">
        <f>12517672/1000000</f>
        <v>12.517671999999999</v>
      </c>
      <c r="D3">
        <v>10669</v>
      </c>
    </row>
    <row r="4" spans="1:5" x14ac:dyDescent="0.25">
      <c r="A4">
        <v>3</v>
      </c>
      <c r="B4" t="s">
        <v>27</v>
      </c>
      <c r="C4" t="s">
        <v>33</v>
      </c>
      <c r="D4">
        <v>5933</v>
      </c>
    </row>
    <row r="5" spans="1:5" x14ac:dyDescent="0.25">
      <c r="A5">
        <v>4</v>
      </c>
      <c r="B5" t="s">
        <v>28</v>
      </c>
      <c r="C5" t="s">
        <v>33</v>
      </c>
      <c r="D5">
        <f>+D3-D4</f>
        <v>4736</v>
      </c>
    </row>
    <row r="6" spans="1:5" x14ac:dyDescent="0.25">
      <c r="A6">
        <v>5</v>
      </c>
      <c r="B6" t="s">
        <v>29</v>
      </c>
      <c r="C6" t="s">
        <v>33</v>
      </c>
      <c r="D6">
        <f>+D2-D5</f>
        <v>4565</v>
      </c>
      <c r="E6" s="13">
        <f>+D6/$D$6</f>
        <v>1</v>
      </c>
    </row>
    <row r="7" spans="1:5" x14ac:dyDescent="0.25">
      <c r="A7">
        <v>6</v>
      </c>
      <c r="B7" t="s">
        <v>30</v>
      </c>
      <c r="C7" t="s">
        <v>33</v>
      </c>
      <c r="D7">
        <f>+D6</f>
        <v>4565</v>
      </c>
      <c r="E7" s="13">
        <f>+D7/$D$6</f>
        <v>1</v>
      </c>
    </row>
    <row r="8" spans="1:5" x14ac:dyDescent="0.25">
      <c r="A8">
        <v>7</v>
      </c>
      <c r="B8" t="s">
        <v>31</v>
      </c>
      <c r="C8" t="s">
        <v>33</v>
      </c>
      <c r="D8" t="s">
        <v>33</v>
      </c>
    </row>
    <row r="9" spans="1:5" x14ac:dyDescent="0.25">
      <c r="A9">
        <v>8</v>
      </c>
      <c r="B9" t="s">
        <v>32</v>
      </c>
      <c r="C9" t="s">
        <v>33</v>
      </c>
      <c r="D9" t="s">
        <v>33</v>
      </c>
    </row>
    <row r="12" spans="1:5" x14ac:dyDescent="0.25">
      <c r="D12" s="14"/>
    </row>
    <row r="18" spans="5:5" x14ac:dyDescent="0.25">
      <c r="E1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Daily BCRA</vt:lpstr>
      <vt:lpstr>Monthly</vt:lpstr>
      <vt:lpstr>T1</vt:lpstr>
      <vt:lpstr>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Chaluh</dc:creator>
  <cp:lastModifiedBy>Marcos Chaluh</cp:lastModifiedBy>
  <dcterms:created xsi:type="dcterms:W3CDTF">2025-11-25T02:49:34Z</dcterms:created>
  <dcterms:modified xsi:type="dcterms:W3CDTF">2025-11-25T23:54:45Z</dcterms:modified>
</cp:coreProperties>
</file>